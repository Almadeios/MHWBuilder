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lisman" sheetId="1" r:id="rId5"/>
    <sheet state="visible" name="SkillGroups" sheetId="2" r:id="rId6"/>
    <sheet state="hidden" name="PossibleLayouts" sheetId="3" r:id="rId7"/>
    <sheet state="hidden" name="Backdoors" sheetId="4" r:id="rId8"/>
    <sheet state="hidden" name="SkillList" sheetId="5" r:id="rId9"/>
  </sheets>
  <definedNames/>
  <calcPr/>
</workbook>
</file>

<file path=xl/sharedStrings.xml><?xml version="1.0" encoding="utf-8"?>
<sst xmlns="http://schemas.openxmlformats.org/spreadsheetml/2006/main" count="763" uniqueCount="164">
  <si>
    <t>Rarity</t>
  </si>
  <si>
    <t>Skill 1 Group</t>
  </si>
  <si>
    <t>Skill 2 Group</t>
  </si>
  <si>
    <t>Skill 3 Group</t>
  </si>
  <si>
    <t>Possible Slot Combos</t>
  </si>
  <si>
    <t>RARE[5]</t>
  </si>
  <si>
    <t>[1,1] [2,0] [2,1] [3,0]</t>
  </si>
  <si>
    <t>-</t>
  </si>
  <si>
    <t>RARE[6]</t>
  </si>
  <si>
    <t>[1,0] [1,1] [2,0] [2,1]</t>
  </si>
  <si>
    <t>RARE[7]</t>
  </si>
  <si>
    <t>[1,0] [1,1] [2,0]</t>
  </si>
  <si>
    <t>[1,1] [2,0] [3,0]</t>
  </si>
  <si>
    <t>RARE[8]</t>
  </si>
  <si>
    <t>[W1,0] [W1,1] [W1,1,1]</t>
  </si>
  <si>
    <t>Group 1</t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</si>
  <si>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</si>
  <si>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</si>
  <si>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</si>
  <si>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</si>
  <si>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</si>
  <si>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</si>
  <si>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</si>
  <si>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</si>
  <si>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</si>
  <si>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Artillery</t>
  </si>
  <si>
    <t>Airborne</t>
  </si>
  <si>
    <t>Attack Boost</t>
  </si>
  <si>
    <t>Adaptability</t>
  </si>
  <si>
    <t>Antivirus</t>
  </si>
  <si>
    <t>Ambush</t>
  </si>
  <si>
    <t>Adrenaline Rush</t>
  </si>
  <si>
    <t>Ballistics</t>
  </si>
  <si>
    <t>Bind Resistance</t>
  </si>
  <si>
    <t>Blight Resistance</t>
  </si>
  <si>
    <t>Agitator</t>
  </si>
  <si>
    <t>Blast Attack</t>
  </si>
  <si>
    <t>Aquatic/Oilsilt Mobility</t>
  </si>
  <si>
    <t>Blast Resistance</t>
  </si>
  <si>
    <t>Coalescence</t>
  </si>
  <si>
    <t>Burst</t>
  </si>
  <si>
    <t>Critical Boost</t>
  </si>
  <si>
    <t>Bleeding Resistance</t>
  </si>
  <si>
    <t>Counterstrike</t>
  </si>
  <si>
    <t>Convert Element</t>
  </si>
  <si>
    <t>Bludgeoner</t>
  </si>
  <si>
    <t>Critical Element</t>
  </si>
  <si>
    <t>Bombardier</t>
  </si>
  <si>
    <t>Earplugs</t>
  </si>
  <si>
    <t>Elemental Absorption</t>
  </si>
  <si>
    <t>Charge Master</t>
  </si>
  <si>
    <t>Blast Functionality</t>
  </si>
  <si>
    <t>Critical Eye</t>
  </si>
  <si>
    <t>Botanist</t>
  </si>
  <si>
    <t>Evade Extender</t>
  </si>
  <si>
    <t>Flayer</t>
  </si>
  <si>
    <t>Critical Draw</t>
  </si>
  <si>
    <t>Dragon Attack</t>
  </si>
  <si>
    <t>Constitution</t>
  </si>
  <si>
    <t>Evade Window</t>
  </si>
  <si>
    <t>Foray</t>
  </si>
  <si>
    <t>Fire Attack</t>
  </si>
  <si>
    <t>Defense Boost</t>
  </si>
  <si>
    <t>Heroics</t>
  </si>
  <si>
    <t>Latent Power</t>
  </si>
  <si>
    <t>Charge Up</t>
  </si>
  <si>
    <t>Guard</t>
  </si>
  <si>
    <t>Divine Blessing</t>
  </si>
  <si>
    <t>Maximum Might</t>
  </si>
  <si>
    <t>Weakness Exploit</t>
  </si>
  <si>
    <t>Critical Status</t>
  </si>
  <si>
    <t>Guard Up</t>
  </si>
  <si>
    <t>Dragon Resistance</t>
  </si>
  <si>
    <t>Mushroomancer</t>
  </si>
  <si>
    <t>Handicraft</t>
  </si>
  <si>
    <t>Fire Resistance</t>
  </si>
  <si>
    <t>Partbreaker</t>
  </si>
  <si>
    <t>Ice Attack</t>
  </si>
  <si>
    <t>Flinch Free</t>
  </si>
  <si>
    <t>Peak Performance</t>
  </si>
  <si>
    <t>Focus</t>
  </si>
  <si>
    <t>Opening Shot</t>
  </si>
  <si>
    <t>Free Meal</t>
  </si>
  <si>
    <t>Resentment</t>
  </si>
  <si>
    <t>Paralysis Attack</t>
  </si>
  <si>
    <t>Geologist</t>
  </si>
  <si>
    <t>Stamina Surge</t>
  </si>
  <si>
    <t>Exhaust Functionality</t>
  </si>
  <si>
    <t>Poison Attack</t>
  </si>
  <si>
    <t>Hunger Resistance</t>
  </si>
  <si>
    <t>Tool Specialist</t>
  </si>
  <si>
    <t>Protective Polish</t>
  </si>
  <si>
    <t>Ice Resistance</t>
  </si>
  <si>
    <t>Horn Maestro</t>
  </si>
  <si>
    <t>Razor Sharp</t>
  </si>
  <si>
    <t>Intimidator</t>
  </si>
  <si>
    <t>Master's Touch</t>
  </si>
  <si>
    <t>Sleep Attack</t>
  </si>
  <si>
    <t>Iron Skin</t>
  </si>
  <si>
    <t>Load Shells</t>
  </si>
  <si>
    <t>Mind's Eye</t>
  </si>
  <si>
    <t>Tetrad Shot</t>
  </si>
  <si>
    <t>Item Prolonger</t>
  </si>
  <si>
    <t>Normal Shots</t>
  </si>
  <si>
    <t>Thunder Attack</t>
  </si>
  <si>
    <t>Marathon Runner</t>
  </si>
  <si>
    <t>Offensive Guard</t>
  </si>
  <si>
    <t>Water Attack</t>
  </si>
  <si>
    <t>Paralysis Resistance</t>
  </si>
  <si>
    <t>Poison Resistance</t>
  </si>
  <si>
    <t>Para Functionality</t>
  </si>
  <si>
    <t>Quick Sheathe</t>
  </si>
  <si>
    <t>Recovery Speed</t>
  </si>
  <si>
    <t>Power Prolonger</t>
  </si>
  <si>
    <t>Piercing Shots</t>
  </si>
  <si>
    <t>Recovery Up</t>
  </si>
  <si>
    <t>Sleep Resistance</t>
  </si>
  <si>
    <t>Punishing Draw</t>
  </si>
  <si>
    <t>Speed Eating</t>
  </si>
  <si>
    <t>Rapid Morph</t>
  </si>
  <si>
    <t>Stun Resistance</t>
  </si>
  <si>
    <t>Poison Duration Up</t>
  </si>
  <si>
    <t>Survival Expert</t>
  </si>
  <si>
    <t>Poison Functionality</t>
  </si>
  <si>
    <t>Rapid Fire Up</t>
  </si>
  <si>
    <t>Stench Resistance</t>
  </si>
  <si>
    <t>Thunder Resistance</t>
  </si>
  <si>
    <t>Slugger</t>
  </si>
  <si>
    <t>Tremor Resistance</t>
  </si>
  <si>
    <t>Special Ammo Boost</t>
  </si>
  <si>
    <t>Water Resistance</t>
  </si>
  <si>
    <t>Speed Sharpening</t>
  </si>
  <si>
    <t>Wide-Range</t>
  </si>
  <si>
    <t>Stamina Thief</t>
  </si>
  <si>
    <t>Sleep Functionality</t>
  </si>
  <si>
    <t>Windproof</t>
  </si>
  <si>
    <t>Spread/Power Shots</t>
  </si>
  <si>
    <t>[1,0]</t>
  </si>
  <si>
    <t>1-0-0</t>
  </si>
  <si>
    <t>[1,1]</t>
  </si>
  <si>
    <t>1-1-0</t>
  </si>
  <si>
    <t>[2,0]</t>
  </si>
  <si>
    <t>2-0-0</t>
  </si>
  <si>
    <t>[2,1]</t>
  </si>
  <si>
    <t>2-1-0</t>
  </si>
  <si>
    <t>[3,0]</t>
  </si>
  <si>
    <t>3-0-0</t>
  </si>
  <si>
    <t>[W1,0]</t>
  </si>
  <si>
    <t>1w-0-0</t>
  </si>
  <si>
    <t>[W1,1]</t>
  </si>
  <si>
    <t>1w-1-0</t>
  </si>
  <si>
    <t>[W1,1,1]</t>
  </si>
  <si>
    <t>1w-1-1</t>
  </si>
  <si>
    <t>only 1,2,3,4</t>
  </si>
  <si>
    <t>Possible 2nd Groups</t>
  </si>
  <si>
    <t>Possible 2s</t>
  </si>
  <si>
    <t>Possible 3rd Groups</t>
  </si>
  <si>
    <t>Possible 3s</t>
  </si>
  <si>
    <t>slots</t>
  </si>
  <si>
    <t>combination</t>
  </si>
  <si>
    <t>Group</t>
  </si>
  <si>
    <t>Possible Level</t>
  </si>
  <si>
    <t>Skill</t>
  </si>
  <si>
    <t>Level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</si>
</sst>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Aptos Narrow"/>
    </font>
    <font>
      <b/>
      <color rgb="FFFFFFFF"/>
      <name val="Arial"/>
    </font>
    <font>
      <b/>
      <sz val="11.0"/>
      <color theme="1"/>
      <name val="Aptos Narrow"/>
    </font>
    <font>
      <sz val="11.0"/>
      <color theme="1"/>
      <name val="Arial"/>
    </font>
    <font>
      <b/>
      <sz val="11.0"/>
      <color rgb="FFFFFFFF"/>
      <name val="Aptos Narrow"/>
    </font>
    <font>
      <b/>
      <sz val="11.0"/>
      <color theme="1"/>
      <name val="Arial"/>
    </font>
    <font>
      <b/>
      <color theme="1"/>
      <name val="Lexend"/>
    </font>
    <font>
      <color theme="1"/>
      <name val="Arial"/>
      <scheme val="minor"/>
    </font>
    <font>
      <strike/>
      <color theme="1"/>
      <name val="Arial"/>
      <scheme val="minor"/>
    </font>
    <font>
      <color rgb="FFFFFFFF"/>
      <name val="Lexend"/>
    </font>
    <font>
      <color theme="1"/>
      <name val="Roboto"/>
    </font>
    <font>
      <color theme="1"/>
      <name val="Arial"/>
    </font>
    <font/>
    <font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69138"/>
        <bgColor rgb="FFE69138"/>
      </patternFill>
    </fill>
    <fill>
      <patternFill patternType="solid">
        <fgColor rgb="FF5B0F00"/>
        <bgColor rgb="FF5B0F0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674EA7"/>
        <bgColor rgb="FF674EA7"/>
      </patternFill>
    </fill>
    <fill>
      <patternFill patternType="solid">
        <fgColor rgb="FF45818E"/>
        <bgColor rgb="FF45818E"/>
      </patternFill>
    </fill>
    <fill>
      <patternFill patternType="solid">
        <fgColor rgb="FFFFD966"/>
        <bgColor rgb="FFFFD966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</fills>
  <borders count="7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A5916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A5916"/>
      </right>
      <top style="thin">
        <color rgb="FFFFFFFF"/>
      </top>
      <bottom style="thin">
        <color rgb="FFFFFFFF"/>
      </bottom>
    </border>
    <border>
      <left style="thin">
        <color rgb="FF99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990000"/>
      </right>
      <top style="thin">
        <color rgb="FFFFFFFF"/>
      </top>
      <bottom style="thin">
        <color rgb="FFFFFFFF"/>
      </bottom>
    </border>
    <border>
      <left style="thin">
        <color rgb="FF4D3B7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D3B7D"/>
      </right>
      <top style="thin">
        <color rgb="FFFFFFFF"/>
      </top>
      <bottom style="thin">
        <color rgb="FFFFFFFF"/>
      </bottom>
    </border>
    <border>
      <left style="thin">
        <color rgb="FFBFA34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FA34D"/>
      </right>
      <top style="thin">
        <color rgb="FFFFFFFF"/>
      </top>
      <bottom style="thin">
        <color rgb="FFFFFFFF"/>
      </bottom>
    </border>
    <border>
      <left style="thin">
        <color rgb="FF34616B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4616B"/>
      </right>
      <top style="thin">
        <color rgb="FFFFFFFF"/>
      </top>
      <bottom style="thin">
        <color rgb="FFFFFFFF"/>
      </bottom>
    </border>
    <border>
      <left style="thin">
        <color rgb="FFAD6D2A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AD6D2A"/>
      </right>
      <top style="thin">
        <color rgb="FFFFFFFF"/>
      </top>
      <bottom style="thin">
        <color rgb="FFFFFFFF"/>
      </bottom>
    </border>
    <border>
      <left style="thin">
        <color rgb="FF440B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0B00"/>
      </right>
      <top style="thin">
        <color rgb="FFFFFFFF"/>
      </top>
      <bottom style="thin">
        <color rgb="FFFFFFFF"/>
      </bottom>
    </border>
    <border>
      <left style="thin">
        <color rgb="FF537EA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537EA5"/>
      </right>
      <top style="thin">
        <color rgb="FFFFFFFF"/>
      </top>
      <bottom style="thin">
        <color rgb="FFFFFFFF"/>
      </bottom>
    </border>
    <border>
      <left style="thin">
        <color rgb="FF925C78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925C78"/>
      </right>
      <top style="thin">
        <color rgb="FFFFFFFF"/>
      </top>
      <bottom style="thin">
        <color rgb="FFFFFFFF"/>
      </bottom>
    </border>
    <border>
      <left style="thin">
        <color rgb="FF0D4099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D4099"/>
      </right>
      <top style="thin">
        <color rgb="FFFFFFFF"/>
      </top>
      <bottom style="thin">
        <color rgb="FFFFFFFF"/>
      </bottom>
    </border>
    <border>
      <left style="thin">
        <color rgb="FF2A5916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2A5916"/>
      </right>
      <top style="thin">
        <color rgb="FFD9EAD3"/>
      </top>
      <bottom style="thin">
        <color rgb="FFD9EAD3"/>
      </bottom>
    </border>
    <border>
      <left style="thin">
        <color rgb="FF990000"/>
      </left>
      <right style="thin">
        <color rgb="FFF4CCCC"/>
      </right>
      <top style="thin">
        <color rgb="FFF4CCCC"/>
      </top>
      <bottom style="thin">
        <color rgb="FFF4CCCC"/>
      </bottom>
    </border>
    <border>
      <left style="thin">
        <color rgb="FFF4CCCC"/>
      </left>
      <right style="thin">
        <color rgb="FF990000"/>
      </right>
      <top style="thin">
        <color rgb="FFF4CCCC"/>
      </top>
      <bottom style="thin">
        <color rgb="FFF4CCCC"/>
      </bottom>
    </border>
    <border>
      <left style="thin">
        <color rgb="FF4D3B7D"/>
      </left>
      <right style="thin">
        <color rgb="FFD9D2E9"/>
      </right>
      <top style="thin">
        <color rgb="FFD9D2E9"/>
      </top>
      <bottom style="thin">
        <color rgb="FFD9D2E9"/>
      </bottom>
    </border>
    <border>
      <left style="thin">
        <color rgb="FFD9D2E9"/>
      </left>
      <right style="thin">
        <color rgb="FF4D3B7D"/>
      </right>
      <top style="thin">
        <color rgb="FFD9D2E9"/>
      </top>
      <bottom style="thin">
        <color rgb="FFD9D2E9"/>
      </bottom>
    </border>
    <border>
      <left style="thin">
        <color rgb="FFBFA34D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FFF2CC"/>
      </left>
      <right style="thin">
        <color rgb="FFBFA34D"/>
      </right>
      <top style="thin">
        <color rgb="FFFFF2CC"/>
      </top>
      <bottom style="thin">
        <color rgb="FFFFF2CC"/>
      </bottom>
    </border>
    <border>
      <left style="thin">
        <color rgb="FF34616B"/>
      </left>
      <right style="thin">
        <color rgb="FFD0E0E3"/>
      </right>
      <top style="thin">
        <color rgb="FFD0E0E3"/>
      </top>
      <bottom style="thin">
        <color rgb="FFD0E0E3"/>
      </bottom>
    </border>
    <border>
      <left style="thin">
        <color rgb="FFD0E0E3"/>
      </left>
      <right style="thin">
        <color rgb="FF34616B"/>
      </right>
      <top style="thin">
        <color rgb="FFD0E0E3"/>
      </top>
      <bottom style="thin">
        <color rgb="FFD0E0E3"/>
      </bottom>
    </border>
    <border>
      <left style="thin">
        <color rgb="FFAD6D2A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FCE5CD"/>
      </left>
      <right style="thin">
        <color rgb="FFAD6D2A"/>
      </right>
      <top style="thin">
        <color rgb="FFFCE5CD"/>
      </top>
      <bottom style="thin">
        <color rgb="FFFCE5CD"/>
      </bottom>
    </border>
    <border>
      <left style="thin">
        <color rgb="FF440B00"/>
      </left>
      <right style="thin">
        <color rgb="FFE6B8AF"/>
      </right>
      <top style="thin">
        <color rgb="FFE6B8AF"/>
      </top>
      <bottom style="thin">
        <color rgb="FFE6B8AF"/>
      </bottom>
    </border>
    <border>
      <left style="thin">
        <color rgb="FFE6B8AF"/>
      </left>
      <right style="thin">
        <color rgb="FF440B00"/>
      </right>
      <top style="thin">
        <color rgb="FFE6B8AF"/>
      </top>
      <bottom style="thin">
        <color rgb="FFE6B8AF"/>
      </bottom>
    </border>
    <border>
      <left style="thin">
        <color rgb="FF537EA5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537EA5"/>
      </right>
      <top style="thin">
        <color rgb="FFCFE2F3"/>
      </top>
      <bottom style="thin">
        <color rgb="FFCFE2F3"/>
      </bottom>
    </border>
    <border>
      <left style="thin">
        <color rgb="FF925C78"/>
      </left>
      <right style="thin">
        <color rgb="FFEAD1DC"/>
      </right>
      <top style="thin">
        <color rgb="FFEAD1DC"/>
      </top>
      <bottom style="thin">
        <color rgb="FFEAD1DC"/>
      </bottom>
    </border>
    <border>
      <left style="thin">
        <color rgb="FFEAD1DC"/>
      </left>
      <right style="thin">
        <color rgb="FF925C78"/>
      </right>
      <top style="thin">
        <color rgb="FFEAD1DC"/>
      </top>
      <bottom style="thin">
        <color rgb="FFEAD1DC"/>
      </bottom>
    </border>
    <border>
      <left style="thin">
        <color rgb="FF0D4099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0D4099"/>
      </right>
      <top style="thin">
        <color rgb="FFC9DAF8"/>
      </top>
      <bottom style="thin">
        <color rgb="FFC9DAF8"/>
      </bottom>
    </border>
    <border>
      <left style="thin">
        <color rgb="FF0D4099"/>
      </left>
      <right style="thin">
        <color rgb="FFFFFFFF"/>
      </right>
      <top style="thin">
        <color rgb="FFFFFFFF"/>
      </top>
      <bottom style="thin">
        <color rgb="FF0D4099"/>
      </bottom>
    </border>
    <border>
      <left style="thin">
        <color rgb="FFFFFFFF"/>
      </left>
      <right style="thin">
        <color rgb="FF0D4099"/>
      </right>
      <top style="thin">
        <color rgb="FFFFFFFF"/>
      </top>
      <bottom style="thin">
        <color rgb="FF0D4099"/>
      </bottom>
    </border>
    <border>
      <left style="thin">
        <color rgb="FF537EA5"/>
      </left>
      <right style="thin">
        <color rgb="FFFFFFFF"/>
      </right>
      <top style="thin">
        <color rgb="FFFFFFFF"/>
      </top>
      <bottom style="thin">
        <color rgb="FF537EA5"/>
      </bottom>
    </border>
    <border>
      <left style="thin">
        <color rgb="FFFFFFFF"/>
      </left>
      <right style="thin">
        <color rgb="FF537EA5"/>
      </right>
      <top style="thin">
        <color rgb="FFFFFFFF"/>
      </top>
      <bottom style="thin">
        <color rgb="FF537EA5"/>
      </bottom>
    </border>
    <border>
      <left style="thin">
        <color rgb="FF925C78"/>
      </left>
      <right style="thin">
        <color rgb="FFFFFFFF"/>
      </right>
      <top style="thin">
        <color rgb="FFFFFFFF"/>
      </top>
      <bottom style="thin">
        <color rgb="FF925C78"/>
      </bottom>
    </border>
    <border>
      <left style="thin">
        <color rgb="FFFFFFFF"/>
      </left>
      <right style="thin">
        <color rgb="FF925C78"/>
      </right>
      <top style="thin">
        <color rgb="FFFFFFFF"/>
      </top>
      <bottom style="thin">
        <color rgb="FF925C78"/>
      </bottom>
    </border>
    <border>
      <left style="thin">
        <color rgb="FFBFA34D"/>
      </left>
      <right style="thin">
        <color rgb="FFFFFFFF"/>
      </right>
      <top style="thin">
        <color rgb="FFFFFFFF"/>
      </top>
      <bottom style="thin">
        <color rgb="FFBFA34D"/>
      </bottom>
    </border>
    <border>
      <left style="thin">
        <color rgb="FFFFFFFF"/>
      </left>
      <right style="thin">
        <color rgb="FFBFA34D"/>
      </right>
      <top style="thin">
        <color rgb="FFFFFFFF"/>
      </top>
      <bottom style="thin">
        <color rgb="FFBFA34D"/>
      </bottom>
    </border>
    <border>
      <left style="thin">
        <color rgb="FF440B00"/>
      </left>
      <right style="thin">
        <color rgb="FFE6B8AF"/>
      </right>
      <top style="thin">
        <color rgb="FFE6B8AF"/>
      </top>
      <bottom style="thin">
        <color rgb="FF440B00"/>
      </bottom>
    </border>
    <border>
      <left style="thin">
        <color rgb="FFE6B8AF"/>
      </left>
      <right style="thin">
        <color rgb="FF440B00"/>
      </right>
      <top style="thin">
        <color rgb="FFE6B8AF"/>
      </top>
      <bottom style="thin">
        <color rgb="FF440B00"/>
      </bottom>
    </border>
    <border>
      <left style="thin">
        <color rgb="FF2A5916"/>
      </left>
      <right style="thin">
        <color rgb="FFFFFFFF"/>
      </right>
      <top style="thin">
        <color rgb="FFFFFFFF"/>
      </top>
      <bottom style="thin">
        <color rgb="FF2A5916"/>
      </bottom>
    </border>
    <border>
      <left style="thin">
        <color rgb="FFFFFFFF"/>
      </left>
      <right style="thin">
        <color rgb="FF2A5916"/>
      </right>
      <top style="thin">
        <color rgb="FFFFFFFF"/>
      </top>
      <bottom style="thin">
        <color rgb="FF2A5916"/>
      </bottom>
    </border>
    <border>
      <left style="thin">
        <color rgb="FF34616B"/>
      </left>
      <right style="thin">
        <color rgb="FFFFFFFF"/>
      </right>
      <top style="thin">
        <color rgb="FFFFFFFF"/>
      </top>
      <bottom style="thin">
        <color rgb="FF34616B"/>
      </bottom>
    </border>
    <border>
      <left style="thin">
        <color rgb="FFFFFFFF"/>
      </left>
      <right style="thin">
        <color rgb="FF34616B"/>
      </right>
      <top style="thin">
        <color rgb="FFFFFFFF"/>
      </top>
      <bottom style="thin">
        <color rgb="FF34616B"/>
      </bottom>
    </border>
    <border>
      <left style="thin">
        <color rgb="FFAD6D2A"/>
      </left>
      <right style="thin">
        <color rgb="FFFFFFFF"/>
      </right>
      <top style="thin">
        <color rgb="FFFFFFFF"/>
      </top>
      <bottom style="thin">
        <color rgb="FFAD6D2A"/>
      </bottom>
    </border>
    <border>
      <left style="thin">
        <color rgb="FFFFFFFF"/>
      </left>
      <right style="thin">
        <color rgb="FFAD6D2A"/>
      </right>
      <top style="thin">
        <color rgb="FFFFFFFF"/>
      </top>
      <bottom style="thin">
        <color rgb="FFAD6D2A"/>
      </bottom>
    </border>
    <border>
      <left style="thin">
        <color rgb="FF4D3B7D"/>
      </left>
      <right style="thin">
        <color rgb="FFD9D2E9"/>
      </right>
      <top style="thin">
        <color rgb="FFD9D2E9"/>
      </top>
      <bottom style="thin">
        <color rgb="FF4D3B7D"/>
      </bottom>
    </border>
    <border>
      <left style="thin">
        <color rgb="FFD9D2E9"/>
      </left>
      <right style="thin">
        <color rgb="FF4D3B7D"/>
      </right>
      <top style="thin">
        <color rgb="FFD9D2E9"/>
      </top>
      <bottom style="thin">
        <color rgb="FF4D3B7D"/>
      </bottom>
    </border>
    <border>
      <left style="thin">
        <color rgb="FF990000"/>
      </left>
      <right style="thin">
        <color rgb="FFFFFFFF"/>
      </right>
      <top style="thin">
        <color rgb="FFFFFFFF"/>
      </top>
      <bottom style="thin">
        <color rgb="FF990000"/>
      </bottom>
    </border>
    <border>
      <left style="thin">
        <color rgb="FFFFFFFF"/>
      </left>
      <right style="thin">
        <color rgb="FF990000"/>
      </right>
      <top style="thin">
        <color rgb="FFFFFFFF"/>
      </top>
      <bottom style="thin">
        <color rgb="FF99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vertical="bottom"/>
    </xf>
    <xf borderId="0" fillId="2" fontId="3" numFmtId="0" xfId="0" applyAlignment="1" applyFill="1" applyFont="1">
      <alignment horizontal="center" vertical="top"/>
    </xf>
    <xf borderId="0" fillId="3" fontId="4" numFmtId="0" xfId="0" applyAlignment="1" applyFill="1" applyFont="1">
      <alignment horizontal="center" vertical="bottom"/>
    </xf>
    <xf borderId="3" fillId="0" fontId="5" numFmtId="0" xfId="0" applyAlignment="1" applyBorder="1" applyFont="1">
      <alignment vertical="bottom"/>
    </xf>
    <xf borderId="0" fillId="4" fontId="6" numFmtId="0" xfId="0" applyAlignment="1" applyFill="1" applyFont="1">
      <alignment horizontal="center" vertical="bottom"/>
    </xf>
    <xf borderId="0" fillId="0" fontId="7" numFmtId="0" xfId="0" applyAlignment="1" applyFont="1">
      <alignment horizontal="center" readingOrder="0" vertical="bottom"/>
    </xf>
    <xf borderId="0" fillId="5" fontId="4" numFmtId="0" xfId="0" applyAlignment="1" applyFill="1" applyFont="1">
      <alignment horizontal="center" vertical="bottom"/>
    </xf>
    <xf borderId="0" fillId="6" fontId="8" numFmtId="0" xfId="0" applyAlignment="1" applyFill="1" applyFont="1">
      <alignment horizontal="center" readingOrder="0"/>
    </xf>
    <xf borderId="0" fillId="7" fontId="6" numFmtId="0" xfId="0" applyAlignment="1" applyFill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8" fontId="6" numFmtId="0" xfId="0" applyAlignment="1" applyFill="1" applyFont="1">
      <alignment horizontal="center" vertical="bottom"/>
    </xf>
    <xf borderId="0" fillId="9" fontId="6" numFmtId="0" xfId="0" applyAlignment="1" applyFill="1" applyFont="1">
      <alignment horizontal="center" vertical="bottom"/>
    </xf>
    <xf borderId="2" fillId="0" fontId="5" numFmtId="0" xfId="0" applyAlignment="1" applyBorder="1" applyFont="1">
      <alignment vertical="bottom"/>
    </xf>
    <xf borderId="0" fillId="10" fontId="6" numFmtId="0" xfId="0" applyAlignment="1" applyFill="1" applyFont="1">
      <alignment horizontal="center" vertical="bottom"/>
    </xf>
    <xf borderId="0" fillId="11" fontId="6" numFmtId="0" xfId="0" applyAlignment="1" applyFill="1" applyFont="1">
      <alignment horizontal="center" vertical="bottom"/>
    </xf>
    <xf borderId="0" fillId="0" fontId="10" numFmtId="0" xfId="0" applyAlignment="1" applyFont="1">
      <alignment readingOrder="0"/>
    </xf>
    <xf borderId="0" fillId="12" fontId="4" numFmtId="0" xfId="0" applyAlignment="1" applyFill="1" applyFont="1">
      <alignment horizontal="center" vertical="bottom"/>
    </xf>
    <xf borderId="4" fillId="0" fontId="5" numFmtId="0" xfId="0" applyAlignment="1" applyBorder="1" applyFont="1">
      <alignment vertical="bottom"/>
    </xf>
    <xf borderId="5" fillId="12" fontId="4" numFmtId="0" xfId="0" applyAlignment="1" applyBorder="1" applyFont="1">
      <alignment horizontal="center" vertical="bottom"/>
    </xf>
    <xf borderId="5" fillId="2" fontId="3" numFmtId="0" xfId="0" applyAlignment="1" applyBorder="1" applyFont="1">
      <alignment horizontal="center" vertical="top"/>
    </xf>
    <xf borderId="6" fillId="0" fontId="5" numFmtId="0" xfId="0" applyAlignment="1" applyBorder="1" applyFont="1">
      <alignment vertical="bottom"/>
    </xf>
    <xf borderId="0" fillId="0" fontId="9" numFmtId="0" xfId="0" applyAlignment="1" applyFont="1">
      <alignment horizontal="right"/>
    </xf>
    <xf borderId="0" fillId="13" fontId="11" numFmtId="0" xfId="0" applyAlignment="1" applyFill="1" applyFont="1">
      <alignment horizontal="center" readingOrder="0"/>
    </xf>
    <xf borderId="7" fillId="14" fontId="12" numFmtId="0" xfId="0" applyAlignment="1" applyBorder="1" applyFill="1" applyFont="1">
      <alignment vertical="bottom"/>
    </xf>
    <xf borderId="8" fillId="14" fontId="12" numFmtId="0" xfId="0" applyAlignment="1" applyBorder="1" applyFont="1">
      <alignment horizontal="center" vertical="bottom"/>
    </xf>
    <xf borderId="0" fillId="0" fontId="13" numFmtId="0" xfId="0" applyAlignment="1" applyFont="1">
      <alignment vertical="bottom"/>
    </xf>
    <xf borderId="9" fillId="14" fontId="12" numFmtId="0" xfId="0" applyAlignment="1" applyBorder="1" applyFont="1">
      <alignment vertical="bottom"/>
    </xf>
    <xf borderId="10" fillId="14" fontId="12" numFmtId="0" xfId="0" applyAlignment="1" applyBorder="1" applyFont="1">
      <alignment horizontal="center" vertical="bottom"/>
    </xf>
    <xf borderId="11" fillId="14" fontId="12" numFmtId="0" xfId="0" applyAlignment="1" applyBorder="1" applyFont="1">
      <alignment vertical="bottom"/>
    </xf>
    <xf borderId="12" fillId="14" fontId="12" numFmtId="0" xfId="0" applyAlignment="1" applyBorder="1" applyFont="1">
      <alignment horizontal="center" vertical="bottom"/>
    </xf>
    <xf borderId="13" fillId="14" fontId="12" numFmtId="0" xfId="0" applyAlignment="1" applyBorder="1" applyFont="1">
      <alignment vertical="bottom"/>
    </xf>
    <xf borderId="14" fillId="14" fontId="12" numFmtId="0" xfId="0" applyAlignment="1" applyBorder="1" applyFont="1">
      <alignment horizontal="center" vertical="bottom"/>
    </xf>
    <xf borderId="15" fillId="14" fontId="12" numFmtId="0" xfId="0" applyAlignment="1" applyBorder="1" applyFont="1">
      <alignment vertical="bottom"/>
    </xf>
    <xf borderId="16" fillId="14" fontId="12" numFmtId="0" xfId="0" applyAlignment="1" applyBorder="1" applyFont="1">
      <alignment horizontal="center" vertical="bottom"/>
    </xf>
    <xf borderId="17" fillId="14" fontId="12" numFmtId="0" xfId="0" applyAlignment="1" applyBorder="1" applyFont="1">
      <alignment vertical="bottom"/>
    </xf>
    <xf borderId="18" fillId="14" fontId="12" numFmtId="0" xfId="0" applyAlignment="1" applyBorder="1" applyFont="1">
      <alignment horizontal="center" vertical="bottom"/>
    </xf>
    <xf borderId="19" fillId="14" fontId="12" numFmtId="0" xfId="0" applyAlignment="1" applyBorder="1" applyFont="1">
      <alignment vertical="bottom"/>
    </xf>
    <xf borderId="20" fillId="14" fontId="12" numFmtId="0" xfId="0" applyAlignment="1" applyBorder="1" applyFont="1">
      <alignment horizontal="center" vertical="bottom"/>
    </xf>
    <xf borderId="21" fillId="14" fontId="12" numFmtId="0" xfId="0" applyAlignment="1" applyBorder="1" applyFont="1">
      <alignment vertical="bottom"/>
    </xf>
    <xf borderId="22" fillId="14" fontId="12" numFmtId="0" xfId="0" applyAlignment="1" applyBorder="1" applyFont="1">
      <alignment horizontal="center" vertical="bottom"/>
    </xf>
    <xf borderId="23" fillId="14" fontId="12" numFmtId="0" xfId="0" applyAlignment="1" applyBorder="1" applyFont="1">
      <alignment vertical="bottom"/>
    </xf>
    <xf borderId="24" fillId="14" fontId="12" numFmtId="0" xfId="0" applyAlignment="1" applyBorder="1" applyFont="1">
      <alignment horizontal="center" vertical="bottom"/>
    </xf>
    <xf borderId="25" fillId="14" fontId="12" numFmtId="0" xfId="0" applyAlignment="1" applyBorder="1" applyFont="1">
      <alignment vertical="bottom"/>
    </xf>
    <xf borderId="26" fillId="14" fontId="12" numFmtId="0" xfId="0" applyAlignment="1" applyBorder="1" applyFont="1">
      <alignment horizontal="center" vertical="bottom"/>
    </xf>
    <xf borderId="27" fillId="15" fontId="12" numFmtId="0" xfId="0" applyAlignment="1" applyBorder="1" applyFill="1" applyFont="1">
      <alignment vertical="bottom"/>
    </xf>
    <xf borderId="28" fillId="15" fontId="12" numFmtId="0" xfId="0" applyAlignment="1" applyBorder="1" applyFont="1">
      <alignment horizontal="center" vertical="bottom"/>
    </xf>
    <xf borderId="29" fillId="16" fontId="12" numFmtId="0" xfId="0" applyAlignment="1" applyBorder="1" applyFill="1" applyFont="1">
      <alignment vertical="bottom"/>
    </xf>
    <xf borderId="30" fillId="16" fontId="12" numFmtId="0" xfId="0" applyAlignment="1" applyBorder="1" applyFont="1">
      <alignment horizontal="center" vertical="bottom"/>
    </xf>
    <xf borderId="31" fillId="17" fontId="12" numFmtId="0" xfId="0" applyAlignment="1" applyBorder="1" applyFill="1" applyFont="1">
      <alignment vertical="bottom"/>
    </xf>
    <xf borderId="32" fillId="17" fontId="12" numFmtId="0" xfId="0" applyAlignment="1" applyBorder="1" applyFont="1">
      <alignment horizontal="center" vertical="bottom"/>
    </xf>
    <xf borderId="33" fillId="18" fontId="12" numFmtId="0" xfId="0" applyAlignment="1" applyBorder="1" applyFill="1" applyFont="1">
      <alignment vertical="bottom"/>
    </xf>
    <xf borderId="34" fillId="18" fontId="12" numFmtId="0" xfId="0" applyAlignment="1" applyBorder="1" applyFont="1">
      <alignment horizontal="center" vertical="bottom"/>
    </xf>
    <xf borderId="35" fillId="19" fontId="12" numFmtId="0" xfId="0" applyAlignment="1" applyBorder="1" applyFill="1" applyFont="1">
      <alignment vertical="bottom"/>
    </xf>
    <xf borderId="36" fillId="19" fontId="12" numFmtId="0" xfId="0" applyAlignment="1" applyBorder="1" applyFont="1">
      <alignment horizontal="center" vertical="bottom"/>
    </xf>
    <xf borderId="37" fillId="20" fontId="12" numFmtId="0" xfId="0" applyAlignment="1" applyBorder="1" applyFill="1" applyFont="1">
      <alignment vertical="bottom"/>
    </xf>
    <xf borderId="38" fillId="20" fontId="12" numFmtId="0" xfId="0" applyAlignment="1" applyBorder="1" applyFont="1">
      <alignment horizontal="center" vertical="bottom"/>
    </xf>
    <xf borderId="39" fillId="21" fontId="12" numFmtId="0" xfId="0" applyAlignment="1" applyBorder="1" applyFill="1" applyFont="1">
      <alignment vertical="bottom"/>
    </xf>
    <xf borderId="40" fillId="21" fontId="12" numFmtId="0" xfId="0" applyAlignment="1" applyBorder="1" applyFont="1">
      <alignment horizontal="center" vertical="bottom"/>
    </xf>
    <xf borderId="41" fillId="5" fontId="12" numFmtId="0" xfId="0" applyAlignment="1" applyBorder="1" applyFont="1">
      <alignment vertical="bottom"/>
    </xf>
    <xf borderId="42" fillId="5" fontId="12" numFmtId="0" xfId="0" applyAlignment="1" applyBorder="1" applyFont="1">
      <alignment horizontal="center" vertical="bottom"/>
    </xf>
    <xf borderId="43" fillId="22" fontId="12" numFmtId="0" xfId="0" applyAlignment="1" applyBorder="1" applyFill="1" applyFont="1">
      <alignment vertical="bottom"/>
    </xf>
    <xf borderId="44" fillId="22" fontId="12" numFmtId="0" xfId="0" applyAlignment="1" applyBorder="1" applyFont="1">
      <alignment horizontal="center" vertical="bottom"/>
    </xf>
    <xf borderId="45" fillId="6" fontId="12" numFmtId="0" xfId="0" applyAlignment="1" applyBorder="1" applyFont="1">
      <alignment vertical="bottom"/>
    </xf>
    <xf borderId="46" fillId="6" fontId="12" numFmtId="0" xfId="0" applyAlignment="1" applyBorder="1" applyFont="1">
      <alignment horizontal="center" vertical="bottom"/>
    </xf>
    <xf borderId="9" fillId="14" fontId="12" numFmtId="0" xfId="0" applyAlignment="1" applyBorder="1" applyFont="1">
      <alignment vertical="bottom"/>
    </xf>
    <xf borderId="47" fillId="14" fontId="12" numFmtId="0" xfId="0" applyAlignment="1" applyBorder="1" applyFont="1">
      <alignment vertical="bottom"/>
    </xf>
    <xf borderId="48" fillId="14" fontId="12" numFmtId="0" xfId="0" applyAlignment="1" applyBorder="1" applyFont="1">
      <alignment horizontal="center" vertical="bottom"/>
    </xf>
    <xf borderId="49" fillId="14" fontId="12" numFmtId="0" xfId="0" applyAlignment="1" applyBorder="1" applyFont="1">
      <alignment vertical="bottom"/>
    </xf>
    <xf borderId="50" fillId="14" fontId="12" numFmtId="0" xfId="0" applyAlignment="1" applyBorder="1" applyFont="1">
      <alignment horizontal="center" vertical="bottom"/>
    </xf>
    <xf borderId="51" fillId="14" fontId="12" numFmtId="0" xfId="0" applyAlignment="1" applyBorder="1" applyFont="1">
      <alignment vertical="bottom"/>
    </xf>
    <xf borderId="52" fillId="14" fontId="12" numFmtId="0" xfId="0" applyAlignment="1" applyBorder="1" applyFont="1">
      <alignment horizontal="center" vertical="bottom"/>
    </xf>
    <xf borderId="53" fillId="14" fontId="12" numFmtId="0" xfId="0" applyAlignment="1" applyBorder="1" applyFont="1">
      <alignment vertical="bottom"/>
    </xf>
    <xf borderId="54" fillId="14" fontId="12" numFmtId="0" xfId="0" applyAlignment="1" applyBorder="1" applyFont="1">
      <alignment horizontal="center" vertical="bottom"/>
    </xf>
    <xf borderId="55" fillId="21" fontId="12" numFmtId="0" xfId="0" applyAlignment="1" applyBorder="1" applyFont="1">
      <alignment vertical="bottom"/>
    </xf>
    <xf borderId="56" fillId="21" fontId="12" numFmtId="0" xfId="0" applyAlignment="1" applyBorder="1" applyFont="1">
      <alignment horizontal="center" vertical="bottom"/>
    </xf>
    <xf borderId="57" fillId="14" fontId="12" numFmtId="0" xfId="0" applyAlignment="1" applyBorder="1" applyFont="1">
      <alignment vertical="bottom"/>
    </xf>
    <xf borderId="58" fillId="14" fontId="12" numFmtId="0" xfId="0" applyAlignment="1" applyBorder="1" applyFont="1">
      <alignment horizontal="center" vertical="bottom"/>
    </xf>
    <xf borderId="59" fillId="14" fontId="12" numFmtId="0" xfId="0" applyAlignment="1" applyBorder="1" applyFont="1">
      <alignment vertical="bottom"/>
    </xf>
    <xf borderId="60" fillId="14" fontId="12" numFmtId="0" xfId="0" applyAlignment="1" applyBorder="1" applyFont="1">
      <alignment horizontal="center" vertical="bottom"/>
    </xf>
    <xf borderId="61" fillId="14" fontId="12" numFmtId="0" xfId="0" applyAlignment="1" applyBorder="1" applyFont="1">
      <alignment vertical="bottom"/>
    </xf>
    <xf borderId="62" fillId="14" fontId="12" numFmtId="0" xfId="0" applyAlignment="1" applyBorder="1" applyFont="1">
      <alignment horizontal="center" vertical="bottom"/>
    </xf>
    <xf borderId="63" fillId="17" fontId="12" numFmtId="0" xfId="0" applyAlignment="1" applyBorder="1" applyFont="1">
      <alignment vertical="bottom"/>
    </xf>
    <xf borderId="64" fillId="17" fontId="12" numFmtId="0" xfId="0" applyAlignment="1" applyBorder="1" applyFont="1">
      <alignment horizontal="center" vertical="bottom"/>
    </xf>
    <xf borderId="0" fillId="0" fontId="13" numFmtId="0" xfId="0" applyAlignment="1" applyFont="1">
      <alignment readingOrder="0" vertical="bottom"/>
    </xf>
    <xf borderId="65" fillId="14" fontId="12" numFmtId="0" xfId="0" applyAlignment="1" applyBorder="1" applyFont="1">
      <alignment vertical="bottom"/>
    </xf>
    <xf borderId="66" fillId="14" fontId="12" numFmtId="0" xfId="0" applyAlignment="1" applyBorder="1" applyFont="1">
      <alignment horizontal="center" vertical="bottom"/>
    </xf>
    <xf borderId="67" fillId="0" fontId="9" numFmtId="0" xfId="0" applyAlignment="1" applyBorder="1" applyFont="1">
      <alignment horizontal="center" readingOrder="0"/>
    </xf>
    <xf borderId="68" fillId="0" fontId="9" numFmtId="49" xfId="0" applyAlignment="1" applyBorder="1" applyFont="1" applyNumberFormat="1">
      <alignment horizontal="center" readingOrder="0"/>
    </xf>
    <xf borderId="0" fillId="0" fontId="13" numFmtId="0" xfId="0" applyAlignment="1" applyFont="1">
      <alignment horizontal="right" vertical="bottom"/>
    </xf>
    <xf borderId="2" fillId="0" fontId="9" numFmtId="0" xfId="0" applyAlignment="1" applyBorder="1" applyFont="1">
      <alignment horizontal="center" readingOrder="0"/>
    </xf>
    <xf borderId="3" fillId="0" fontId="9" numFmtId="49" xfId="0" applyAlignment="1" applyBorder="1" applyFont="1" applyNumberFormat="1">
      <alignment horizontal="center" readingOrder="0"/>
    </xf>
    <xf borderId="4" fillId="0" fontId="9" numFmtId="0" xfId="0" applyAlignment="1" applyBorder="1" applyFont="1">
      <alignment horizontal="center" readingOrder="0"/>
    </xf>
    <xf borderId="6" fillId="0" fontId="9" numFmtId="49" xfId="0" applyAlignment="1" applyBorder="1" applyFont="1" applyNumberFormat="1">
      <alignment horizontal="center" readingOrder="0"/>
    </xf>
    <xf borderId="0" fillId="0" fontId="9" numFmtId="0" xfId="0" applyFont="1"/>
    <xf borderId="0" fillId="0" fontId="9" numFmtId="0" xfId="0" applyAlignment="1" applyFont="1">
      <alignment readingOrder="0"/>
    </xf>
    <xf borderId="69" fillId="0" fontId="14" numFmtId="0" xfId="0" applyBorder="1" applyFont="1"/>
    <xf borderId="68" fillId="0" fontId="14" numFmtId="0" xfId="0" applyBorder="1" applyFont="1"/>
    <xf borderId="70" fillId="0" fontId="9" numFmtId="0" xfId="0" applyAlignment="1" applyBorder="1" applyFont="1">
      <alignment readingOrder="0"/>
    </xf>
    <xf borderId="2" fillId="0" fontId="9" numFmtId="0" xfId="0" applyBorder="1" applyFont="1"/>
    <xf borderId="3" fillId="0" fontId="9" numFmtId="0" xfId="0" applyBorder="1" applyFont="1"/>
    <xf borderId="70" fillId="0" fontId="9" numFmtId="0" xfId="0" applyBorder="1" applyFont="1"/>
    <xf borderId="71" fillId="0" fontId="9" numFmtId="0" xfId="0" applyAlignment="1" applyBorder="1" applyFont="1">
      <alignment horizontal="center" readingOrder="0"/>
    </xf>
    <xf borderId="67" fillId="0" fontId="9" numFmtId="0" xfId="0" applyAlignment="1" applyBorder="1" applyFont="1">
      <alignment readingOrder="0"/>
    </xf>
    <xf borderId="68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1" fillId="0" fontId="9" numFmtId="0" xfId="0" applyBorder="1" applyFont="1"/>
    <xf borderId="2" fillId="0" fontId="9" numFmtId="0" xfId="0" applyAlignment="1" applyBorder="1" applyFont="1">
      <alignment horizontal="center"/>
    </xf>
    <xf borderId="71" fillId="0" fontId="9" numFmtId="0" xfId="0" applyBorder="1" applyFont="1"/>
    <xf borderId="67" fillId="0" fontId="9" numFmtId="0" xfId="0" applyBorder="1" applyFont="1"/>
    <xf borderId="2" fillId="0" fontId="9" numFmtId="0" xfId="0" applyAlignment="1" applyBorder="1" applyFont="1">
      <alignment readingOrder="0"/>
    </xf>
    <xf borderId="4" fillId="0" fontId="9" numFmtId="0" xfId="0" applyAlignment="1" applyBorder="1" applyFont="1">
      <alignment horizontal="center"/>
    </xf>
    <xf borderId="69" fillId="0" fontId="9" numFmtId="0" xfId="0" applyBorder="1" applyFont="1"/>
    <xf borderId="3" fillId="0" fontId="9" numFmtId="0" xfId="0" applyAlignment="1" applyBorder="1" applyFont="1">
      <alignment readingOrder="0"/>
    </xf>
    <xf borderId="6" fillId="0" fontId="9" numFmtId="0" xfId="0" applyAlignment="1" applyBorder="1" applyFont="1">
      <alignment readingOrder="0"/>
    </xf>
    <xf borderId="72" fillId="0" fontId="9" numFmtId="0" xfId="0" applyBorder="1" applyFont="1"/>
    <xf borderId="0" fillId="13" fontId="11" numFmtId="0" xfId="0" applyAlignment="1" applyFont="1">
      <alignment horizontal="center" readingOrder="0" vertical="bottom"/>
    </xf>
    <xf borderId="0" fillId="14" fontId="9" numFmtId="0" xfId="0" applyFont="1"/>
    <xf borderId="0" fillId="14" fontId="12" numFmtId="0" xfId="0" applyAlignment="1" applyFont="1">
      <alignment vertical="bottom"/>
    </xf>
    <xf borderId="0" fillId="14" fontId="12" numFmtId="0" xfId="0" applyAlignment="1" applyFont="1">
      <alignment horizontal="center" vertical="bottom"/>
    </xf>
    <xf borderId="0" fillId="14" fontId="15" numFmtId="0" xfId="0" applyAlignment="1" applyFont="1">
      <alignment horizontal="center" readingOrder="0"/>
    </xf>
    <xf borderId="0" fillId="14" fontId="12" numFmtId="0" xfId="0" applyAlignment="1" applyFont="1">
      <alignment vertical="bottom"/>
    </xf>
    <xf borderId="0" fillId="14" fontId="15" numFmtId="0" xfId="0" applyAlignment="1" applyFont="1">
      <alignment horizontal="center" readingOrder="0" vertical="bottom"/>
    </xf>
    <xf borderId="0" fillId="14" fontId="15" numFmtId="0" xfId="0" applyAlignment="1" applyFont="1">
      <alignment horizontal="center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9">
    <tableStyle count="2" pivot="0" name="SkillGroups-style">
      <tableStyleElement dxfId="1" type="firstRowStripe"/>
      <tableStyleElement dxfId="2" type="secondRowStripe"/>
    </tableStyle>
    <tableStyle count="2" pivot="0" name="SkillGroups-style 2">
      <tableStyleElement dxfId="1" type="firstRowStripe"/>
      <tableStyleElement dxfId="3" type="secondRowStripe"/>
    </tableStyle>
    <tableStyle count="2" pivot="0" name="SkillGroups-style 3">
      <tableStyleElement dxfId="1" type="firstRowStripe"/>
      <tableStyleElement dxfId="4" type="secondRowStripe"/>
    </tableStyle>
    <tableStyle count="2" pivot="0" name="SkillGroups-style 4">
      <tableStyleElement dxfId="1" type="firstRowStripe"/>
      <tableStyleElement dxfId="5" type="secondRowStripe"/>
    </tableStyle>
    <tableStyle count="2" pivot="0" name="SkillGroups-style 5">
      <tableStyleElement dxfId="1" type="firstRowStripe"/>
      <tableStyleElement dxfId="6" type="secondRowStripe"/>
    </tableStyle>
    <tableStyle count="2" pivot="0" name="SkillGroups-style 6">
      <tableStyleElement dxfId="1" type="firstRowStripe"/>
      <tableStyleElement dxfId="7" type="secondRowStripe"/>
    </tableStyle>
    <tableStyle count="2" pivot="0" name="SkillGroups-style 7">
      <tableStyleElement dxfId="1" type="firstRowStripe"/>
      <tableStyleElement dxfId="8" type="secondRowStripe"/>
    </tableStyle>
    <tableStyle count="2" pivot="0" name="SkillGroups-style 8">
      <tableStyleElement dxfId="1" type="firstRowStripe"/>
      <tableStyleElement dxfId="9" type="secondRowStripe"/>
    </tableStyle>
    <tableStyle count="2" pivot="0" name="SkillGroups-style 9">
      <tableStyleElement dxfId="1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:E44" displayName="Table_1" name="Table_1" id="1">
  <tableColumns count="2">
    <tableColumn name="Column1" id="1"/>
    <tableColumn name="Column2" id="2"/>
  </tableColumns>
  <tableStyleInfo name="SkillGroups-style" showColumnStripes="0" showFirstColumn="1" showLastColumn="1" showRowStripes="1"/>
</table>
</file>

<file path=xl/tables/table2.xml><?xml version="1.0" encoding="utf-8"?>
<table xmlns="http://schemas.openxmlformats.org/spreadsheetml/2006/main" headerRowCount="0" ref="G2:H41" displayName="Table_2" name="Table_2" id="2">
  <tableColumns count="2">
    <tableColumn name="Column1" id="1"/>
    <tableColumn name="Column2" id="2"/>
  </tableColumns>
  <tableStyleInfo name="SkillGroups-style 2" showColumnStripes="0" showFirstColumn="1" showLastColumn="1" showRowStripes="1"/>
</table>
</file>

<file path=xl/tables/table3.xml><?xml version="1.0" encoding="utf-8"?>
<table xmlns="http://schemas.openxmlformats.org/spreadsheetml/2006/main" headerRowCount="0" ref="J2:K22" displayName="Table_3" name="Table_3" id="3">
  <tableColumns count="2">
    <tableColumn name="Column1" id="1"/>
    <tableColumn name="Column2" id="2"/>
  </tableColumns>
  <tableStyleInfo name="SkillGroups-style 3" showColumnStripes="0" showFirstColumn="1" showLastColumn="1" showRowStripes="1"/>
</table>
</file>

<file path=xl/tables/table4.xml><?xml version="1.0" encoding="utf-8"?>
<table xmlns="http://schemas.openxmlformats.org/spreadsheetml/2006/main" headerRowCount="0" ref="M2:N38" displayName="Table_4" name="Table_4" id="4">
  <tableColumns count="2">
    <tableColumn name="Column1" id="1"/>
    <tableColumn name="Column2" id="2"/>
  </tableColumns>
  <tableStyleInfo name="SkillGroups-style 4" showColumnStripes="0" showFirstColumn="1" showLastColumn="1" showRowStripes="1"/>
</table>
</file>

<file path=xl/tables/table5.xml><?xml version="1.0" encoding="utf-8"?>
<table xmlns="http://schemas.openxmlformats.org/spreadsheetml/2006/main" headerRowCount="0" ref="P2:Q38" displayName="Table_5" name="Table_5" id="5">
  <tableColumns count="2">
    <tableColumn name="Column1" id="1"/>
    <tableColumn name="Column2" id="2"/>
  </tableColumns>
  <tableStyleInfo name="SkillGroups-style 5" showColumnStripes="0" showFirstColumn="1" showLastColumn="1" showRowStripes="1"/>
</table>
</file>

<file path=xl/tables/table6.xml><?xml version="1.0" encoding="utf-8"?>
<table xmlns="http://schemas.openxmlformats.org/spreadsheetml/2006/main" headerRowCount="0" ref="S2:T35" displayName="Table_6" name="Table_6" id="6">
  <tableColumns count="2">
    <tableColumn name="Column1" id="1"/>
    <tableColumn name="Column2" id="2"/>
  </tableColumns>
  <tableStyleInfo name="SkillGroups-style 6" showColumnStripes="0" showFirstColumn="1" showLastColumn="1" showRowStripes="1"/>
</table>
</file>

<file path=xl/tables/table7.xml><?xml version="1.0" encoding="utf-8"?>
<table xmlns="http://schemas.openxmlformats.org/spreadsheetml/2006/main" headerRowCount="0" ref="V2:W16" displayName="Table_7" name="Table_7" id="7">
  <tableColumns count="2">
    <tableColumn name="Column1" id="1"/>
    <tableColumn name="Column2" id="2"/>
  </tableColumns>
  <tableStyleInfo name="SkillGroups-style 7" showColumnStripes="0" showFirstColumn="1" showLastColumn="1" showRowStripes="1"/>
</table>
</file>

<file path=xl/tables/table8.xml><?xml version="1.0" encoding="utf-8"?>
<table xmlns="http://schemas.openxmlformats.org/spreadsheetml/2006/main" headerRowCount="0" ref="Y2:Z16" displayName="Table_8" name="Table_8" id="8">
  <tableColumns count="2">
    <tableColumn name="Column1" id="1"/>
    <tableColumn name="Column2" id="2"/>
  </tableColumns>
  <tableStyleInfo name="SkillGroups-style 8" showColumnStripes="0" showFirstColumn="1" showLastColumn="1" showRowStripes="1"/>
</table>
</file>

<file path=xl/tables/table9.xml><?xml version="1.0" encoding="utf-8"?>
<table xmlns="http://schemas.openxmlformats.org/spreadsheetml/2006/main" headerRowCount="0" ref="AB2:AC10" displayName="Table_9" name="Table_9" id="9">
  <tableColumns count="2">
    <tableColumn name="Column1" id="1"/>
    <tableColumn name="Column2" id="2"/>
  </tableColumns>
  <tableStyleInfo name="SkillGroups-style 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13.88"/>
    <col customWidth="1" min="9" max="9" width="19.38"/>
  </cols>
  <sheetData>
    <row r="1"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>
      <c r="E2" s="2" t="s">
        <v>5</v>
      </c>
      <c r="F2" s="3">
        <v>1.0</v>
      </c>
      <c r="G2" s="4">
        <v>6.0</v>
      </c>
      <c r="H2" s="4">
        <v>6.0</v>
      </c>
      <c r="I2" s="5" t="s">
        <v>6</v>
      </c>
    </row>
    <row r="3">
      <c r="E3" s="2" t="s">
        <v>5</v>
      </c>
      <c r="F3" s="3">
        <v>1.0</v>
      </c>
      <c r="G3" s="6">
        <v>7.0</v>
      </c>
      <c r="H3" s="7" t="s">
        <v>7</v>
      </c>
      <c r="I3" s="5" t="s">
        <v>6</v>
      </c>
    </row>
    <row r="4">
      <c r="E4" s="2" t="s">
        <v>5</v>
      </c>
      <c r="F4" s="3">
        <v>1.0</v>
      </c>
      <c r="G4" s="8">
        <v>8.0</v>
      </c>
      <c r="H4" s="4">
        <v>6.0</v>
      </c>
      <c r="I4" s="5" t="s">
        <v>6</v>
      </c>
    </row>
    <row r="5">
      <c r="E5" s="2" t="s">
        <v>5</v>
      </c>
      <c r="F5" s="3">
        <v>1.0</v>
      </c>
      <c r="G5" s="8">
        <v>8.0</v>
      </c>
      <c r="H5" s="8">
        <v>8.0</v>
      </c>
      <c r="I5" s="5" t="s">
        <v>6</v>
      </c>
    </row>
    <row r="6">
      <c r="C6" s="9"/>
      <c r="E6" s="2" t="s">
        <v>5</v>
      </c>
      <c r="F6" s="3">
        <v>1.0</v>
      </c>
      <c r="G6" s="10">
        <v>9.0</v>
      </c>
      <c r="H6" s="7" t="s">
        <v>7</v>
      </c>
      <c r="I6" s="5" t="s">
        <v>6</v>
      </c>
    </row>
    <row r="7">
      <c r="C7" s="11"/>
      <c r="E7" s="2" t="s">
        <v>5</v>
      </c>
      <c r="F7" s="3">
        <v>1.0</v>
      </c>
      <c r="G7" s="12">
        <v>10.0</v>
      </c>
      <c r="H7" s="7" t="s">
        <v>7</v>
      </c>
      <c r="I7" s="5" t="s">
        <v>6</v>
      </c>
    </row>
    <row r="8">
      <c r="E8" s="2" t="s">
        <v>8</v>
      </c>
      <c r="F8" s="3">
        <v>1.0</v>
      </c>
      <c r="G8" s="3">
        <v>1.0</v>
      </c>
      <c r="H8" s="6">
        <v>7.0</v>
      </c>
      <c r="I8" s="5" t="s">
        <v>9</v>
      </c>
    </row>
    <row r="9">
      <c r="E9" s="2" t="s">
        <v>8</v>
      </c>
      <c r="F9" s="3">
        <v>1.0</v>
      </c>
      <c r="G9" s="3">
        <v>1.0</v>
      </c>
      <c r="H9" s="12">
        <v>10.0</v>
      </c>
      <c r="I9" s="5" t="s">
        <v>9</v>
      </c>
    </row>
    <row r="10">
      <c r="E10" s="2" t="s">
        <v>8</v>
      </c>
      <c r="F10" s="13">
        <v>2.0</v>
      </c>
      <c r="G10" s="4">
        <v>6.0</v>
      </c>
      <c r="H10" s="4">
        <v>6.0</v>
      </c>
      <c r="I10" s="5" t="s">
        <v>9</v>
      </c>
    </row>
    <row r="11">
      <c r="E11" s="2" t="s">
        <v>8</v>
      </c>
      <c r="F11" s="13">
        <v>2.0</v>
      </c>
      <c r="G11" s="8">
        <v>8.0</v>
      </c>
      <c r="H11" s="4">
        <v>6.0</v>
      </c>
      <c r="I11" s="5" t="s">
        <v>9</v>
      </c>
    </row>
    <row r="12">
      <c r="B12" s="11"/>
      <c r="E12" s="2" t="s">
        <v>8</v>
      </c>
      <c r="F12" s="13">
        <v>2.0</v>
      </c>
      <c r="G12" s="8">
        <v>8.0</v>
      </c>
      <c r="H12" s="8">
        <v>8.0</v>
      </c>
      <c r="I12" s="5" t="s">
        <v>9</v>
      </c>
    </row>
    <row r="13">
      <c r="E13" s="2" t="s">
        <v>8</v>
      </c>
      <c r="F13" s="13">
        <v>2.0</v>
      </c>
      <c r="G13" s="10">
        <v>9.0</v>
      </c>
      <c r="H13" s="7" t="s">
        <v>7</v>
      </c>
      <c r="I13" s="5" t="s">
        <v>9</v>
      </c>
    </row>
    <row r="14">
      <c r="E14" s="2" t="s">
        <v>8</v>
      </c>
      <c r="F14" s="13">
        <v>2.0</v>
      </c>
      <c r="G14" s="12">
        <v>10.0</v>
      </c>
      <c r="H14" s="7" t="s">
        <v>7</v>
      </c>
      <c r="I14" s="5" t="s">
        <v>9</v>
      </c>
    </row>
    <row r="15">
      <c r="E15" s="14" t="s">
        <v>10</v>
      </c>
      <c r="F15" s="13">
        <v>2.0</v>
      </c>
      <c r="G15" s="3">
        <v>1.0</v>
      </c>
      <c r="H15" s="6">
        <v>7.0</v>
      </c>
      <c r="I15" s="5" t="s">
        <v>11</v>
      </c>
    </row>
    <row r="16">
      <c r="E16" s="14" t="s">
        <v>10</v>
      </c>
      <c r="F16" s="13">
        <v>2.0</v>
      </c>
      <c r="G16" s="3">
        <v>1.0</v>
      </c>
      <c r="H16" s="8">
        <v>8.0</v>
      </c>
      <c r="I16" s="5" t="s">
        <v>12</v>
      </c>
    </row>
    <row r="17">
      <c r="C17" s="11"/>
      <c r="E17" s="14" t="s">
        <v>10</v>
      </c>
      <c r="F17" s="13">
        <v>2.0</v>
      </c>
      <c r="G17" s="3">
        <v>1.0</v>
      </c>
      <c r="H17" s="12">
        <v>10.0</v>
      </c>
      <c r="I17" s="5" t="s">
        <v>11</v>
      </c>
    </row>
    <row r="18">
      <c r="E18" s="14" t="s">
        <v>10</v>
      </c>
      <c r="F18" s="15">
        <v>3.0</v>
      </c>
      <c r="G18" s="4">
        <v>6.0</v>
      </c>
      <c r="H18" s="16">
        <v>5.0</v>
      </c>
      <c r="I18" s="5" t="s">
        <v>11</v>
      </c>
    </row>
    <row r="19">
      <c r="E19" s="14" t="s">
        <v>10</v>
      </c>
      <c r="F19" s="15">
        <v>3.0</v>
      </c>
      <c r="G19" s="6">
        <v>7.0</v>
      </c>
      <c r="H19" s="7" t="s">
        <v>7</v>
      </c>
      <c r="I19" s="5" t="s">
        <v>11</v>
      </c>
    </row>
    <row r="20">
      <c r="E20" s="14" t="s">
        <v>10</v>
      </c>
      <c r="F20" s="15">
        <v>3.0</v>
      </c>
      <c r="G20" s="8">
        <v>8.0</v>
      </c>
      <c r="H20" s="16">
        <v>5.0</v>
      </c>
      <c r="I20" s="5" t="s">
        <v>11</v>
      </c>
    </row>
    <row r="21">
      <c r="E21" s="14" t="s">
        <v>10</v>
      </c>
      <c r="F21" s="15">
        <v>3.0</v>
      </c>
      <c r="G21" s="12">
        <v>10.0</v>
      </c>
      <c r="H21" s="7" t="s">
        <v>7</v>
      </c>
      <c r="I21" s="5" t="s">
        <v>11</v>
      </c>
    </row>
    <row r="22">
      <c r="C22" s="17"/>
      <c r="E22" s="14" t="s">
        <v>10</v>
      </c>
      <c r="F22" s="18">
        <v>4.0</v>
      </c>
      <c r="G22" s="3">
        <v>1.0</v>
      </c>
      <c r="H22" s="3">
        <v>1.0</v>
      </c>
      <c r="I22" s="5" t="s">
        <v>11</v>
      </c>
    </row>
    <row r="23">
      <c r="E23" s="14" t="s">
        <v>13</v>
      </c>
      <c r="F23" s="13">
        <v>2.0</v>
      </c>
      <c r="G23" s="3">
        <v>1.0</v>
      </c>
      <c r="H23" s="6">
        <v>7.0</v>
      </c>
      <c r="I23" s="5" t="s">
        <v>14</v>
      </c>
    </row>
    <row r="24">
      <c r="E24" s="14" t="s">
        <v>13</v>
      </c>
      <c r="F24" s="13">
        <v>2.0</v>
      </c>
      <c r="G24" s="3">
        <v>1.0</v>
      </c>
      <c r="H24" s="8">
        <v>8.0</v>
      </c>
      <c r="I24" s="5" t="s">
        <v>14</v>
      </c>
    </row>
    <row r="25">
      <c r="E25" s="14" t="s">
        <v>13</v>
      </c>
      <c r="F25" s="13">
        <v>2.0</v>
      </c>
      <c r="G25" s="3">
        <v>1.0</v>
      </c>
      <c r="H25" s="12">
        <v>10.0</v>
      </c>
      <c r="I25" s="5" t="s">
        <v>14</v>
      </c>
    </row>
    <row r="26">
      <c r="B26" s="11"/>
      <c r="E26" s="14" t="s">
        <v>13</v>
      </c>
      <c r="F26" s="15">
        <v>3.0</v>
      </c>
      <c r="G26" s="4">
        <v>6.0</v>
      </c>
      <c r="H26" s="16">
        <v>5.0</v>
      </c>
      <c r="I26" s="5" t="s">
        <v>14</v>
      </c>
    </row>
    <row r="27">
      <c r="B27" s="11"/>
      <c r="E27" s="14" t="s">
        <v>13</v>
      </c>
      <c r="F27" s="15">
        <v>3.0</v>
      </c>
      <c r="G27" s="6">
        <v>7.0</v>
      </c>
      <c r="H27" s="7" t="s">
        <v>7</v>
      </c>
      <c r="I27" s="5" t="s">
        <v>14</v>
      </c>
    </row>
    <row r="28">
      <c r="E28" s="14" t="s">
        <v>13</v>
      </c>
      <c r="F28" s="15">
        <v>3.0</v>
      </c>
      <c r="G28" s="8">
        <v>8.0</v>
      </c>
      <c r="H28" s="16">
        <v>5.0</v>
      </c>
      <c r="I28" s="5" t="s">
        <v>14</v>
      </c>
    </row>
    <row r="29">
      <c r="E29" s="14" t="s">
        <v>13</v>
      </c>
      <c r="F29" s="15">
        <v>3.0</v>
      </c>
      <c r="G29" s="12">
        <v>10.0</v>
      </c>
      <c r="H29" s="7" t="s">
        <v>7</v>
      </c>
      <c r="I29" s="5" t="s">
        <v>14</v>
      </c>
    </row>
    <row r="30">
      <c r="E30" s="19" t="s">
        <v>13</v>
      </c>
      <c r="F30" s="20">
        <v>4.0</v>
      </c>
      <c r="G30" s="21">
        <v>1.0</v>
      </c>
      <c r="H30" s="21">
        <v>1.0</v>
      </c>
      <c r="I30" s="22" t="s">
        <v>14</v>
      </c>
    </row>
    <row r="33">
      <c r="H33" s="23"/>
    </row>
  </sheetData>
  <dataValidations>
    <dataValidation type="list" allowBlank="1" showDropDown="1" sqref="C7">
      <formula1>"0"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">
        <v>15</v>
      </c>
      <c r="D1" s="24" t="s">
        <v>16</v>
      </c>
      <c r="G1" s="24" t="s">
        <v>17</v>
      </c>
      <c r="J1" s="24" t="s">
        <v>18</v>
      </c>
      <c r="M1" s="24" t="s">
        <v>19</v>
      </c>
      <c r="P1" s="24" t="s">
        <v>20</v>
      </c>
      <c r="S1" s="24" t="s">
        <v>21</v>
      </c>
      <c r="V1" s="24" t="s">
        <v>22</v>
      </c>
      <c r="Y1" s="24" t="s">
        <v>23</v>
      </c>
      <c r="AB1" s="24" t="s">
        <v>24</v>
      </c>
    </row>
    <row r="2">
      <c r="A2" s="25" t="s">
        <v>25</v>
      </c>
      <c r="B2" s="26">
        <v>1.0</v>
      </c>
      <c r="C2" s="27"/>
      <c r="D2" s="28" t="s">
        <v>26</v>
      </c>
      <c r="E2" s="29">
        <v>1.0</v>
      </c>
      <c r="F2" s="27"/>
      <c r="G2" s="30" t="s">
        <v>25</v>
      </c>
      <c r="H2" s="31">
        <v>3.0</v>
      </c>
      <c r="I2" s="27"/>
      <c r="J2" s="32" t="s">
        <v>27</v>
      </c>
      <c r="K2" s="33">
        <v>2.0</v>
      </c>
      <c r="L2" s="27"/>
      <c r="M2" s="34" t="s">
        <v>28</v>
      </c>
      <c r="N2" s="35">
        <v>1.0</v>
      </c>
      <c r="O2" s="27"/>
      <c r="P2" s="36" t="s">
        <v>28</v>
      </c>
      <c r="Q2" s="37">
        <v>2.0</v>
      </c>
      <c r="R2" s="27"/>
      <c r="S2" s="38" t="s">
        <v>29</v>
      </c>
      <c r="T2" s="39">
        <v>3.0</v>
      </c>
      <c r="U2" s="27"/>
      <c r="V2" s="40" t="s">
        <v>30</v>
      </c>
      <c r="W2" s="41">
        <v>1.0</v>
      </c>
      <c r="X2" s="27"/>
      <c r="Y2" s="42" t="s">
        <v>30</v>
      </c>
      <c r="Z2" s="43">
        <v>2.0</v>
      </c>
      <c r="AA2" s="27"/>
      <c r="AB2" s="44" t="s">
        <v>31</v>
      </c>
      <c r="AC2" s="45">
        <v>1.0</v>
      </c>
      <c r="AD2" s="27"/>
    </row>
    <row r="3">
      <c r="A3" s="46" t="s">
        <v>27</v>
      </c>
      <c r="B3" s="47">
        <v>1.0</v>
      </c>
      <c r="C3" s="27"/>
      <c r="D3" s="48" t="s">
        <v>25</v>
      </c>
      <c r="E3" s="49">
        <v>2.0</v>
      </c>
      <c r="F3" s="27"/>
      <c r="G3" s="50" t="s">
        <v>27</v>
      </c>
      <c r="H3" s="51">
        <v>3.0</v>
      </c>
      <c r="I3" s="27"/>
      <c r="J3" s="52" t="s">
        <v>32</v>
      </c>
      <c r="K3" s="53">
        <v>2.0</v>
      </c>
      <c r="L3" s="27"/>
      <c r="M3" s="54" t="s">
        <v>29</v>
      </c>
      <c r="N3" s="55">
        <v>1.0</v>
      </c>
      <c r="O3" s="27"/>
      <c r="P3" s="56" t="s">
        <v>29</v>
      </c>
      <c r="Q3" s="57">
        <v>2.0</v>
      </c>
      <c r="R3" s="27"/>
      <c r="S3" s="58" t="s">
        <v>33</v>
      </c>
      <c r="T3" s="59">
        <v>3.0</v>
      </c>
      <c r="U3" s="27"/>
      <c r="V3" s="60" t="s">
        <v>34</v>
      </c>
      <c r="W3" s="61">
        <v>1.0</v>
      </c>
      <c r="X3" s="27"/>
      <c r="Y3" s="62" t="s">
        <v>34</v>
      </c>
      <c r="Z3" s="63">
        <v>2.0</v>
      </c>
      <c r="AA3" s="27"/>
      <c r="AB3" s="64" t="s">
        <v>35</v>
      </c>
      <c r="AC3" s="65">
        <v>1.0</v>
      </c>
      <c r="AD3" s="27"/>
    </row>
    <row r="4">
      <c r="A4" s="25" t="s">
        <v>32</v>
      </c>
      <c r="B4" s="26">
        <v>1.0</v>
      </c>
      <c r="C4" s="27"/>
      <c r="D4" s="66" t="s">
        <v>27</v>
      </c>
      <c r="E4" s="29">
        <v>2.0</v>
      </c>
      <c r="F4" s="27"/>
      <c r="G4" s="30" t="s">
        <v>32</v>
      </c>
      <c r="H4" s="31">
        <v>3.0</v>
      </c>
      <c r="I4" s="27"/>
      <c r="J4" s="32" t="s">
        <v>36</v>
      </c>
      <c r="K4" s="33">
        <v>2.0</v>
      </c>
      <c r="L4" s="27"/>
      <c r="M4" s="34" t="s">
        <v>37</v>
      </c>
      <c r="N4" s="35">
        <v>1.0</v>
      </c>
      <c r="O4" s="27"/>
      <c r="P4" s="36" t="s">
        <v>37</v>
      </c>
      <c r="Q4" s="37">
        <v>2.0</v>
      </c>
      <c r="R4" s="27"/>
      <c r="S4" s="38" t="s">
        <v>38</v>
      </c>
      <c r="T4" s="39">
        <v>3.0</v>
      </c>
      <c r="U4" s="27"/>
      <c r="V4" s="40" t="s">
        <v>39</v>
      </c>
      <c r="W4" s="41">
        <v>1.0</v>
      </c>
      <c r="X4" s="27"/>
      <c r="Y4" s="42" t="s">
        <v>39</v>
      </c>
      <c r="Z4" s="43">
        <v>2.0</v>
      </c>
      <c r="AA4" s="27"/>
      <c r="AB4" s="44" t="s">
        <v>40</v>
      </c>
      <c r="AC4" s="45">
        <v>1.0</v>
      </c>
      <c r="AD4" s="27"/>
    </row>
    <row r="5">
      <c r="A5" s="46" t="s">
        <v>36</v>
      </c>
      <c r="B5" s="47">
        <v>1.0</v>
      </c>
      <c r="C5" s="27"/>
      <c r="D5" s="48" t="s">
        <v>32</v>
      </c>
      <c r="E5" s="49">
        <v>2.0</v>
      </c>
      <c r="F5" s="27"/>
      <c r="G5" s="50" t="s">
        <v>36</v>
      </c>
      <c r="H5" s="51">
        <v>3.0</v>
      </c>
      <c r="I5" s="27"/>
      <c r="J5" s="52" t="s">
        <v>41</v>
      </c>
      <c r="K5" s="53">
        <v>1.0</v>
      </c>
      <c r="L5" s="27"/>
      <c r="M5" s="54" t="s">
        <v>33</v>
      </c>
      <c r="N5" s="55">
        <v>1.0</v>
      </c>
      <c r="O5" s="27"/>
      <c r="P5" s="56" t="s">
        <v>33</v>
      </c>
      <c r="Q5" s="57">
        <v>2.0</v>
      </c>
      <c r="R5" s="27"/>
      <c r="S5" s="58" t="s">
        <v>42</v>
      </c>
      <c r="T5" s="59">
        <v>3.0</v>
      </c>
      <c r="U5" s="27"/>
      <c r="V5" s="60" t="s">
        <v>43</v>
      </c>
      <c r="W5" s="61">
        <v>1.0</v>
      </c>
      <c r="X5" s="27"/>
      <c r="Y5" s="62" t="s">
        <v>43</v>
      </c>
      <c r="Z5" s="63">
        <v>2.0</v>
      </c>
      <c r="AA5" s="27"/>
      <c r="AB5" s="64" t="s">
        <v>44</v>
      </c>
      <c r="AC5" s="65">
        <v>1.0</v>
      </c>
      <c r="AD5" s="27"/>
    </row>
    <row r="6">
      <c r="A6" s="25" t="s">
        <v>45</v>
      </c>
      <c r="B6" s="26">
        <v>1.0</v>
      </c>
      <c r="C6" s="27"/>
      <c r="D6" s="66" t="s">
        <v>36</v>
      </c>
      <c r="E6" s="29">
        <v>2.0</v>
      </c>
      <c r="F6" s="27"/>
      <c r="G6" s="30" t="s">
        <v>45</v>
      </c>
      <c r="H6" s="31">
        <v>3.0</v>
      </c>
      <c r="I6" s="27"/>
      <c r="J6" s="32" t="s">
        <v>46</v>
      </c>
      <c r="K6" s="33">
        <v>2.0</v>
      </c>
      <c r="L6" s="27"/>
      <c r="M6" s="34" t="s">
        <v>38</v>
      </c>
      <c r="N6" s="35">
        <v>1.0</v>
      </c>
      <c r="O6" s="27"/>
      <c r="P6" s="36" t="s">
        <v>38</v>
      </c>
      <c r="Q6" s="37">
        <v>2.0</v>
      </c>
      <c r="R6" s="27"/>
      <c r="S6" s="38" t="s">
        <v>47</v>
      </c>
      <c r="T6" s="39">
        <v>3.0</v>
      </c>
      <c r="U6" s="27"/>
      <c r="V6" s="40" t="s">
        <v>48</v>
      </c>
      <c r="W6" s="41">
        <v>1.0</v>
      </c>
      <c r="X6" s="27"/>
      <c r="Y6" s="42" t="s">
        <v>48</v>
      </c>
      <c r="Z6" s="43">
        <v>2.0</v>
      </c>
      <c r="AA6" s="27"/>
      <c r="AB6" s="44" t="s">
        <v>49</v>
      </c>
      <c r="AC6" s="45">
        <v>1.0</v>
      </c>
      <c r="AD6" s="27"/>
    </row>
    <row r="7">
      <c r="A7" s="46" t="s">
        <v>50</v>
      </c>
      <c r="B7" s="47">
        <v>1.0</v>
      </c>
      <c r="C7" s="27"/>
      <c r="D7" s="48" t="s">
        <v>51</v>
      </c>
      <c r="E7" s="49">
        <v>1.0</v>
      </c>
      <c r="F7" s="27"/>
      <c r="G7" s="50" t="s">
        <v>50</v>
      </c>
      <c r="H7" s="51">
        <v>3.0</v>
      </c>
      <c r="I7" s="27"/>
      <c r="J7" s="52" t="s">
        <v>52</v>
      </c>
      <c r="K7" s="53">
        <v>2.0</v>
      </c>
      <c r="L7" s="27"/>
      <c r="M7" s="54" t="s">
        <v>42</v>
      </c>
      <c r="N7" s="55">
        <v>1.0</v>
      </c>
      <c r="O7" s="27"/>
      <c r="P7" s="56" t="s">
        <v>42</v>
      </c>
      <c r="Q7" s="57">
        <v>2.0</v>
      </c>
      <c r="R7" s="27"/>
      <c r="S7" s="58" t="s">
        <v>53</v>
      </c>
      <c r="T7" s="59">
        <v>4.0</v>
      </c>
      <c r="U7" s="27"/>
      <c r="V7" s="60" t="s">
        <v>54</v>
      </c>
      <c r="W7" s="61">
        <v>1.0</v>
      </c>
      <c r="X7" s="27"/>
      <c r="Y7" s="62" t="s">
        <v>54</v>
      </c>
      <c r="Z7" s="63">
        <v>2.0</v>
      </c>
      <c r="AA7" s="27"/>
      <c r="AB7" s="64" t="s">
        <v>55</v>
      </c>
      <c r="AC7" s="65">
        <v>1.0</v>
      </c>
      <c r="AD7" s="27"/>
    </row>
    <row r="8">
      <c r="A8" s="25" t="s">
        <v>56</v>
      </c>
      <c r="B8" s="26">
        <v>1.0</v>
      </c>
      <c r="C8" s="27"/>
      <c r="D8" s="66" t="s">
        <v>45</v>
      </c>
      <c r="E8" s="29">
        <v>2.0</v>
      </c>
      <c r="F8" s="27"/>
      <c r="G8" s="30" t="s">
        <v>56</v>
      </c>
      <c r="H8" s="31">
        <v>3.0</v>
      </c>
      <c r="I8" s="27"/>
      <c r="J8" s="32" t="s">
        <v>57</v>
      </c>
      <c r="K8" s="33">
        <v>2.0</v>
      </c>
      <c r="L8" s="27"/>
      <c r="M8" s="34" t="s">
        <v>47</v>
      </c>
      <c r="N8" s="35">
        <v>1.0</v>
      </c>
      <c r="O8" s="27"/>
      <c r="P8" s="36" t="s">
        <v>47</v>
      </c>
      <c r="Q8" s="37">
        <v>2.0</v>
      </c>
      <c r="R8" s="27"/>
      <c r="S8" s="38" t="s">
        <v>58</v>
      </c>
      <c r="T8" s="39">
        <v>4.0</v>
      </c>
      <c r="U8" s="27"/>
      <c r="V8" s="40" t="s">
        <v>59</v>
      </c>
      <c r="W8" s="41">
        <v>2.0</v>
      </c>
      <c r="X8" s="27"/>
      <c r="Y8" s="42" t="s">
        <v>59</v>
      </c>
      <c r="Z8" s="43">
        <v>3.0</v>
      </c>
      <c r="AA8" s="27"/>
      <c r="AB8" s="44" t="s">
        <v>60</v>
      </c>
      <c r="AC8" s="45">
        <v>1.0</v>
      </c>
      <c r="AD8" s="27"/>
    </row>
    <row r="9">
      <c r="A9" s="46" t="s">
        <v>46</v>
      </c>
      <c r="B9" s="47">
        <v>1.0</v>
      </c>
      <c r="C9" s="27"/>
      <c r="D9" s="48" t="s">
        <v>50</v>
      </c>
      <c r="E9" s="49">
        <v>2.0</v>
      </c>
      <c r="F9" s="27"/>
      <c r="G9" s="50" t="s">
        <v>46</v>
      </c>
      <c r="H9" s="51">
        <v>3.0</v>
      </c>
      <c r="I9" s="27"/>
      <c r="J9" s="52" t="s">
        <v>61</v>
      </c>
      <c r="K9" s="53">
        <v>2.0</v>
      </c>
      <c r="L9" s="27"/>
      <c r="M9" s="54" t="s">
        <v>53</v>
      </c>
      <c r="N9" s="55">
        <v>2.0</v>
      </c>
      <c r="O9" s="27"/>
      <c r="P9" s="56" t="s">
        <v>53</v>
      </c>
      <c r="Q9" s="57">
        <v>3.0</v>
      </c>
      <c r="R9" s="27"/>
      <c r="S9" s="58" t="s">
        <v>62</v>
      </c>
      <c r="T9" s="59">
        <v>4.0</v>
      </c>
      <c r="U9" s="27"/>
      <c r="V9" s="60" t="s">
        <v>63</v>
      </c>
      <c r="W9" s="61">
        <v>2.0</v>
      </c>
      <c r="X9" s="27"/>
      <c r="Y9" s="62" t="s">
        <v>63</v>
      </c>
      <c r="Z9" s="63">
        <v>3.0</v>
      </c>
      <c r="AA9" s="27"/>
      <c r="AB9" s="64" t="s">
        <v>64</v>
      </c>
      <c r="AC9" s="65">
        <v>1.0</v>
      </c>
      <c r="AD9" s="27"/>
    </row>
    <row r="10">
      <c r="A10" s="25" t="s">
        <v>52</v>
      </c>
      <c r="B10" s="26">
        <v>1.0</v>
      </c>
      <c r="C10" s="27"/>
      <c r="D10" s="66" t="s">
        <v>65</v>
      </c>
      <c r="E10" s="29">
        <v>1.0</v>
      </c>
      <c r="F10" s="27"/>
      <c r="G10" s="30" t="s">
        <v>52</v>
      </c>
      <c r="H10" s="31">
        <v>3.0</v>
      </c>
      <c r="I10" s="27"/>
      <c r="J10" s="32" t="s">
        <v>66</v>
      </c>
      <c r="K10" s="33">
        <v>2.0</v>
      </c>
      <c r="L10" s="27"/>
      <c r="M10" s="34" t="s">
        <v>58</v>
      </c>
      <c r="N10" s="35">
        <v>2.0</v>
      </c>
      <c r="O10" s="27"/>
      <c r="P10" s="36" t="s">
        <v>58</v>
      </c>
      <c r="Q10" s="37">
        <v>3.0</v>
      </c>
      <c r="R10" s="27"/>
      <c r="S10" s="38" t="s">
        <v>67</v>
      </c>
      <c r="T10" s="39">
        <v>3.0</v>
      </c>
      <c r="U10" s="27"/>
      <c r="V10" s="40" t="s">
        <v>68</v>
      </c>
      <c r="W10" s="41">
        <v>1.0</v>
      </c>
      <c r="X10" s="27"/>
      <c r="Y10" s="42" t="s">
        <v>68</v>
      </c>
      <c r="Z10" s="43">
        <v>2.0</v>
      </c>
      <c r="AA10" s="27"/>
      <c r="AB10" s="67" t="s">
        <v>69</v>
      </c>
      <c r="AC10" s="68">
        <v>1.0</v>
      </c>
      <c r="AD10" s="27"/>
    </row>
    <row r="11">
      <c r="A11" s="46" t="s">
        <v>70</v>
      </c>
      <c r="B11" s="47">
        <v>1.0</v>
      </c>
      <c r="C11" s="27"/>
      <c r="D11" s="48" t="s">
        <v>56</v>
      </c>
      <c r="E11" s="49">
        <v>2.0</v>
      </c>
      <c r="F11" s="27"/>
      <c r="G11" s="50" t="s">
        <v>70</v>
      </c>
      <c r="H11" s="51">
        <v>3.0</v>
      </c>
      <c r="I11" s="27"/>
      <c r="J11" s="52" t="s">
        <v>71</v>
      </c>
      <c r="K11" s="53">
        <v>2.0</v>
      </c>
      <c r="L11" s="27"/>
      <c r="M11" s="54" t="s">
        <v>62</v>
      </c>
      <c r="N11" s="55">
        <v>2.0</v>
      </c>
      <c r="O11" s="27"/>
      <c r="P11" s="56" t="s">
        <v>62</v>
      </c>
      <c r="Q11" s="57">
        <v>3.0</v>
      </c>
      <c r="R11" s="27"/>
      <c r="S11" s="58" t="s">
        <v>72</v>
      </c>
      <c r="T11" s="59">
        <v>3.0</v>
      </c>
      <c r="U11" s="27"/>
      <c r="V11" s="60" t="s">
        <v>73</v>
      </c>
      <c r="W11" s="61">
        <v>1.0</v>
      </c>
      <c r="X11" s="27"/>
      <c r="Y11" s="62" t="s">
        <v>73</v>
      </c>
      <c r="Z11" s="63">
        <v>2.0</v>
      </c>
      <c r="AA11" s="27"/>
      <c r="AB11" s="27"/>
      <c r="AC11" s="27"/>
      <c r="AD11" s="27"/>
    </row>
    <row r="12">
      <c r="A12" s="25" t="s">
        <v>57</v>
      </c>
      <c r="B12" s="26">
        <v>1.0</v>
      </c>
      <c r="C12" s="27"/>
      <c r="D12" s="66" t="s">
        <v>46</v>
      </c>
      <c r="E12" s="29">
        <v>2.0</v>
      </c>
      <c r="F12" s="27"/>
      <c r="G12" s="30" t="s">
        <v>57</v>
      </c>
      <c r="H12" s="31">
        <v>3.0</v>
      </c>
      <c r="I12" s="27"/>
      <c r="J12" s="32" t="s">
        <v>74</v>
      </c>
      <c r="K12" s="33">
        <v>2.0</v>
      </c>
      <c r="L12" s="27"/>
      <c r="M12" s="34" t="s">
        <v>67</v>
      </c>
      <c r="N12" s="35">
        <v>1.0</v>
      </c>
      <c r="O12" s="27"/>
      <c r="P12" s="36" t="s">
        <v>67</v>
      </c>
      <c r="Q12" s="37">
        <v>2.0</v>
      </c>
      <c r="R12" s="27"/>
      <c r="S12" s="38" t="s">
        <v>75</v>
      </c>
      <c r="T12" s="39">
        <v>3.0</v>
      </c>
      <c r="U12" s="27"/>
      <c r="V12" s="40" t="s">
        <v>76</v>
      </c>
      <c r="W12" s="41">
        <v>1.0</v>
      </c>
      <c r="X12" s="27"/>
      <c r="Y12" s="42" t="s">
        <v>76</v>
      </c>
      <c r="Z12" s="43">
        <v>2.0</v>
      </c>
      <c r="AA12" s="27"/>
      <c r="AB12" s="27"/>
      <c r="AC12" s="27"/>
      <c r="AD12" s="27"/>
    </row>
    <row r="13">
      <c r="A13" s="46" t="s">
        <v>61</v>
      </c>
      <c r="B13" s="47">
        <v>1.0</v>
      </c>
      <c r="C13" s="27"/>
      <c r="D13" s="48" t="s">
        <v>52</v>
      </c>
      <c r="E13" s="49">
        <v>2.0</v>
      </c>
      <c r="F13" s="27"/>
      <c r="G13" s="50" t="s">
        <v>61</v>
      </c>
      <c r="H13" s="51">
        <v>3.0</v>
      </c>
      <c r="I13" s="27"/>
      <c r="J13" s="52" t="s">
        <v>77</v>
      </c>
      <c r="K13" s="53">
        <v>2.0</v>
      </c>
      <c r="L13" s="27"/>
      <c r="M13" s="54" t="s">
        <v>72</v>
      </c>
      <c r="N13" s="55">
        <v>1.0</v>
      </c>
      <c r="O13" s="27"/>
      <c r="P13" s="56" t="s">
        <v>72</v>
      </c>
      <c r="Q13" s="57">
        <v>2.0</v>
      </c>
      <c r="R13" s="27"/>
      <c r="S13" s="58" t="s">
        <v>78</v>
      </c>
      <c r="T13" s="59">
        <v>3.0</v>
      </c>
      <c r="U13" s="27"/>
      <c r="V13" s="60" t="s">
        <v>79</v>
      </c>
      <c r="W13" s="61">
        <v>1.0</v>
      </c>
      <c r="X13" s="27"/>
      <c r="Y13" s="62" t="s">
        <v>79</v>
      </c>
      <c r="Z13" s="63">
        <v>2.0</v>
      </c>
      <c r="AA13" s="27"/>
      <c r="AB13" s="27"/>
      <c r="AC13" s="27"/>
      <c r="AD13" s="27"/>
    </row>
    <row r="14">
      <c r="A14" s="25" t="s">
        <v>80</v>
      </c>
      <c r="B14" s="26">
        <v>1.0</v>
      </c>
      <c r="C14" s="27"/>
      <c r="D14" s="66" t="s">
        <v>70</v>
      </c>
      <c r="E14" s="29">
        <v>2.0</v>
      </c>
      <c r="F14" s="27"/>
      <c r="G14" s="30" t="s">
        <v>80</v>
      </c>
      <c r="H14" s="31">
        <v>3.0</v>
      </c>
      <c r="I14" s="27"/>
      <c r="J14" s="32" t="s">
        <v>81</v>
      </c>
      <c r="K14" s="33">
        <v>2.0</v>
      </c>
      <c r="L14" s="27"/>
      <c r="M14" s="34" t="s">
        <v>75</v>
      </c>
      <c r="N14" s="35">
        <v>1.0</v>
      </c>
      <c r="O14" s="27"/>
      <c r="P14" s="36" t="s">
        <v>75</v>
      </c>
      <c r="Q14" s="37">
        <v>2.0</v>
      </c>
      <c r="R14" s="27"/>
      <c r="S14" s="38" t="s">
        <v>82</v>
      </c>
      <c r="T14" s="39">
        <v>3.0</v>
      </c>
      <c r="U14" s="27"/>
      <c r="V14" s="40" t="s">
        <v>83</v>
      </c>
      <c r="W14" s="41">
        <v>1.0</v>
      </c>
      <c r="X14" s="27"/>
      <c r="Y14" s="42" t="s">
        <v>83</v>
      </c>
      <c r="Z14" s="43">
        <v>2.0</v>
      </c>
      <c r="AA14" s="27"/>
      <c r="AB14" s="27"/>
      <c r="AC14" s="27"/>
      <c r="AD14" s="27"/>
    </row>
    <row r="15">
      <c r="A15" s="46" t="s">
        <v>66</v>
      </c>
      <c r="B15" s="47">
        <v>1.0</v>
      </c>
      <c r="C15" s="27"/>
      <c r="D15" s="48" t="s">
        <v>57</v>
      </c>
      <c r="E15" s="49">
        <v>2.0</v>
      </c>
      <c r="F15" s="27"/>
      <c r="G15" s="50" t="s">
        <v>66</v>
      </c>
      <c r="H15" s="51">
        <v>3.0</v>
      </c>
      <c r="I15" s="27"/>
      <c r="J15" s="52" t="s">
        <v>84</v>
      </c>
      <c r="K15" s="53">
        <v>2.0</v>
      </c>
      <c r="L15" s="27"/>
      <c r="M15" s="54" t="s">
        <v>78</v>
      </c>
      <c r="N15" s="55">
        <v>1.0</v>
      </c>
      <c r="O15" s="27"/>
      <c r="P15" s="56" t="s">
        <v>78</v>
      </c>
      <c r="Q15" s="57">
        <v>2.0</v>
      </c>
      <c r="R15" s="27"/>
      <c r="S15" s="58" t="s">
        <v>85</v>
      </c>
      <c r="T15" s="59">
        <v>3.0</v>
      </c>
      <c r="U15" s="27"/>
      <c r="V15" s="60" t="s">
        <v>86</v>
      </c>
      <c r="W15" s="61">
        <v>1.0</v>
      </c>
      <c r="X15" s="27"/>
      <c r="Y15" s="62" t="s">
        <v>86</v>
      </c>
      <c r="Z15" s="63">
        <v>2.0</v>
      </c>
      <c r="AA15" s="27"/>
      <c r="AB15" s="27"/>
      <c r="AC15" s="27"/>
      <c r="AD15" s="27"/>
    </row>
    <row r="16">
      <c r="A16" s="25" t="s">
        <v>71</v>
      </c>
      <c r="B16" s="26">
        <v>1.0</v>
      </c>
      <c r="C16" s="27"/>
      <c r="D16" s="66" t="s">
        <v>87</v>
      </c>
      <c r="E16" s="29">
        <v>1.0</v>
      </c>
      <c r="F16" s="27"/>
      <c r="G16" s="30" t="s">
        <v>71</v>
      </c>
      <c r="H16" s="31">
        <v>3.0</v>
      </c>
      <c r="I16" s="27"/>
      <c r="J16" s="32" t="s">
        <v>88</v>
      </c>
      <c r="K16" s="33">
        <v>2.0</v>
      </c>
      <c r="L16" s="27"/>
      <c r="M16" s="34" t="s">
        <v>82</v>
      </c>
      <c r="N16" s="35">
        <v>1.0</v>
      </c>
      <c r="O16" s="27"/>
      <c r="P16" s="36" t="s">
        <v>82</v>
      </c>
      <c r="Q16" s="37">
        <v>2.0</v>
      </c>
      <c r="R16" s="27"/>
      <c r="S16" s="38" t="s">
        <v>89</v>
      </c>
      <c r="T16" s="39">
        <v>3.0</v>
      </c>
      <c r="U16" s="27"/>
      <c r="V16" s="69" t="s">
        <v>90</v>
      </c>
      <c r="W16" s="70">
        <v>2.0</v>
      </c>
      <c r="X16" s="27"/>
      <c r="Y16" s="71" t="s">
        <v>90</v>
      </c>
      <c r="Z16" s="72">
        <v>3.0</v>
      </c>
      <c r="AA16" s="27"/>
      <c r="AB16" s="27"/>
      <c r="AC16" s="27"/>
      <c r="AD16" s="27"/>
    </row>
    <row r="17">
      <c r="A17" s="46" t="s">
        <v>74</v>
      </c>
      <c r="B17" s="47">
        <v>1.0</v>
      </c>
      <c r="C17" s="27"/>
      <c r="D17" s="48" t="s">
        <v>61</v>
      </c>
      <c r="E17" s="49">
        <v>2.0</v>
      </c>
      <c r="F17" s="27"/>
      <c r="G17" s="50" t="s">
        <v>74</v>
      </c>
      <c r="H17" s="51">
        <v>3.0</v>
      </c>
      <c r="I17" s="27"/>
      <c r="J17" s="52" t="s">
        <v>91</v>
      </c>
      <c r="K17" s="53">
        <v>2.0</v>
      </c>
      <c r="L17" s="27"/>
      <c r="M17" s="54" t="s">
        <v>85</v>
      </c>
      <c r="N17" s="55">
        <v>1.0</v>
      </c>
      <c r="O17" s="27"/>
      <c r="P17" s="56" t="s">
        <v>85</v>
      </c>
      <c r="Q17" s="57">
        <v>2.0</v>
      </c>
      <c r="R17" s="27"/>
      <c r="S17" s="58" t="s">
        <v>92</v>
      </c>
      <c r="T17" s="59">
        <v>3.0</v>
      </c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>
      <c r="A18" s="25" t="s">
        <v>93</v>
      </c>
      <c r="B18" s="26">
        <v>1.0</v>
      </c>
      <c r="C18" s="27"/>
      <c r="D18" s="66" t="s">
        <v>80</v>
      </c>
      <c r="E18" s="29">
        <v>2.0</v>
      </c>
      <c r="F18" s="27"/>
      <c r="G18" s="30" t="s">
        <v>77</v>
      </c>
      <c r="H18" s="31">
        <v>3.0</v>
      </c>
      <c r="I18" s="27"/>
      <c r="J18" s="32" t="s">
        <v>94</v>
      </c>
      <c r="K18" s="33">
        <v>2.0</v>
      </c>
      <c r="L18" s="27"/>
      <c r="M18" s="34" t="s">
        <v>89</v>
      </c>
      <c r="N18" s="35">
        <v>1.0</v>
      </c>
      <c r="O18" s="27"/>
      <c r="P18" s="36" t="s">
        <v>89</v>
      </c>
      <c r="Q18" s="37">
        <v>2.0</v>
      </c>
      <c r="R18" s="27"/>
      <c r="S18" s="38" t="s">
        <v>95</v>
      </c>
      <c r="T18" s="39">
        <v>3.0</v>
      </c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>
      <c r="A19" s="46" t="s">
        <v>77</v>
      </c>
      <c r="B19" s="47">
        <v>1.0</v>
      </c>
      <c r="C19" s="27"/>
      <c r="D19" s="48" t="s">
        <v>66</v>
      </c>
      <c r="E19" s="49">
        <v>2.0</v>
      </c>
      <c r="F19" s="27"/>
      <c r="G19" s="50" t="s">
        <v>96</v>
      </c>
      <c r="H19" s="51">
        <v>1.0</v>
      </c>
      <c r="I19" s="27"/>
      <c r="J19" s="52" t="s">
        <v>97</v>
      </c>
      <c r="K19" s="53">
        <v>2.0</v>
      </c>
      <c r="L19" s="27"/>
      <c r="M19" s="54" t="s">
        <v>92</v>
      </c>
      <c r="N19" s="55">
        <v>1.0</v>
      </c>
      <c r="O19" s="27"/>
      <c r="P19" s="56" t="s">
        <v>92</v>
      </c>
      <c r="Q19" s="57">
        <v>2.0</v>
      </c>
      <c r="R19" s="27"/>
      <c r="S19" s="58" t="s">
        <v>98</v>
      </c>
      <c r="T19" s="59">
        <v>3.0</v>
      </c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>
      <c r="A20" s="25" t="s">
        <v>99</v>
      </c>
      <c r="B20" s="26">
        <v>1.0</v>
      </c>
      <c r="C20" s="27"/>
      <c r="D20" s="66" t="s">
        <v>71</v>
      </c>
      <c r="E20" s="29">
        <v>2.0</v>
      </c>
      <c r="F20" s="27"/>
      <c r="G20" s="30" t="s">
        <v>100</v>
      </c>
      <c r="H20" s="31">
        <v>3.0</v>
      </c>
      <c r="I20" s="27"/>
      <c r="J20" s="32" t="s">
        <v>101</v>
      </c>
      <c r="K20" s="33">
        <v>2.0</v>
      </c>
      <c r="L20" s="27"/>
      <c r="M20" s="34" t="s">
        <v>95</v>
      </c>
      <c r="N20" s="35">
        <v>1.0</v>
      </c>
      <c r="O20" s="27"/>
      <c r="P20" s="36" t="s">
        <v>95</v>
      </c>
      <c r="Q20" s="37">
        <v>2.0</v>
      </c>
      <c r="R20" s="27"/>
      <c r="S20" s="38" t="s">
        <v>102</v>
      </c>
      <c r="T20" s="39">
        <v>3.0</v>
      </c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>
      <c r="A21" s="46" t="s">
        <v>100</v>
      </c>
      <c r="B21" s="47">
        <v>1.0</v>
      </c>
      <c r="C21" s="27"/>
      <c r="D21" s="48" t="s">
        <v>74</v>
      </c>
      <c r="E21" s="49">
        <v>2.0</v>
      </c>
      <c r="F21" s="27"/>
      <c r="G21" s="50" t="s">
        <v>103</v>
      </c>
      <c r="H21" s="51">
        <v>1.0</v>
      </c>
      <c r="I21" s="27"/>
      <c r="J21" s="52" t="s">
        <v>104</v>
      </c>
      <c r="K21" s="53">
        <v>2.0</v>
      </c>
      <c r="L21" s="27"/>
      <c r="M21" s="54" t="s">
        <v>98</v>
      </c>
      <c r="N21" s="55">
        <v>1.0</v>
      </c>
      <c r="O21" s="27"/>
      <c r="P21" s="56" t="s">
        <v>98</v>
      </c>
      <c r="Q21" s="57">
        <v>2.0</v>
      </c>
      <c r="R21" s="27"/>
      <c r="S21" s="58" t="s">
        <v>105</v>
      </c>
      <c r="T21" s="59">
        <v>3.0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>
      <c r="A22" s="25" t="s">
        <v>106</v>
      </c>
      <c r="B22" s="26">
        <v>1.0</v>
      </c>
      <c r="C22" s="27"/>
      <c r="D22" s="66" t="s">
        <v>93</v>
      </c>
      <c r="E22" s="29">
        <v>2.0</v>
      </c>
      <c r="F22" s="27"/>
      <c r="G22" s="30" t="s">
        <v>106</v>
      </c>
      <c r="H22" s="31">
        <v>3.0</v>
      </c>
      <c r="I22" s="27"/>
      <c r="J22" s="73" t="s">
        <v>107</v>
      </c>
      <c r="K22" s="74">
        <v>2.0</v>
      </c>
      <c r="L22" s="27"/>
      <c r="M22" s="34" t="s">
        <v>102</v>
      </c>
      <c r="N22" s="35">
        <v>1.0</v>
      </c>
      <c r="O22" s="27"/>
      <c r="P22" s="36" t="s">
        <v>102</v>
      </c>
      <c r="Q22" s="37">
        <v>2.0</v>
      </c>
      <c r="R22" s="27"/>
      <c r="S22" s="38" t="s">
        <v>108</v>
      </c>
      <c r="T22" s="39">
        <v>3.0</v>
      </c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>
      <c r="A23" s="46" t="s">
        <v>81</v>
      </c>
      <c r="B23" s="47">
        <v>1.0</v>
      </c>
      <c r="C23" s="27"/>
      <c r="D23" s="48" t="s">
        <v>77</v>
      </c>
      <c r="E23" s="49">
        <v>2.0</v>
      </c>
      <c r="F23" s="27"/>
      <c r="G23" s="50" t="s">
        <v>81</v>
      </c>
      <c r="H23" s="51">
        <v>3.0</v>
      </c>
      <c r="I23" s="27"/>
      <c r="J23" s="27"/>
      <c r="K23" s="27"/>
      <c r="L23" s="27"/>
      <c r="M23" s="54" t="s">
        <v>105</v>
      </c>
      <c r="N23" s="55">
        <v>1.0</v>
      </c>
      <c r="O23" s="27"/>
      <c r="P23" s="56" t="s">
        <v>105</v>
      </c>
      <c r="Q23" s="57">
        <v>2.0</v>
      </c>
      <c r="R23" s="27"/>
      <c r="S23" s="58" t="s">
        <v>109</v>
      </c>
      <c r="T23" s="59">
        <v>3.0</v>
      </c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>
      <c r="A24" s="25" t="s">
        <v>84</v>
      </c>
      <c r="B24" s="26">
        <v>1.0</v>
      </c>
      <c r="C24" s="27"/>
      <c r="D24" s="66" t="s">
        <v>99</v>
      </c>
      <c r="E24" s="29">
        <v>2.0</v>
      </c>
      <c r="F24" s="27"/>
      <c r="G24" s="30" t="s">
        <v>110</v>
      </c>
      <c r="H24" s="31">
        <v>1.0</v>
      </c>
      <c r="I24" s="27"/>
      <c r="J24" s="27"/>
      <c r="K24" s="27"/>
      <c r="L24" s="27"/>
      <c r="M24" s="34" t="s">
        <v>108</v>
      </c>
      <c r="N24" s="35">
        <v>1.0</v>
      </c>
      <c r="O24" s="27"/>
      <c r="P24" s="36" t="s">
        <v>108</v>
      </c>
      <c r="Q24" s="37">
        <v>2.0</v>
      </c>
      <c r="R24" s="27"/>
      <c r="S24" s="38" t="s">
        <v>111</v>
      </c>
      <c r="T24" s="39">
        <v>3.0</v>
      </c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>
      <c r="A25" s="46" t="s">
        <v>88</v>
      </c>
      <c r="B25" s="47">
        <v>1.0</v>
      </c>
      <c r="C25" s="27"/>
      <c r="D25" s="48" t="s">
        <v>100</v>
      </c>
      <c r="E25" s="49">
        <v>2.0</v>
      </c>
      <c r="F25" s="27"/>
      <c r="G25" s="50" t="s">
        <v>84</v>
      </c>
      <c r="H25" s="51">
        <v>3.0</v>
      </c>
      <c r="I25" s="27"/>
      <c r="J25" s="27"/>
      <c r="K25" s="27"/>
      <c r="L25" s="27"/>
      <c r="M25" s="54" t="s">
        <v>109</v>
      </c>
      <c r="N25" s="55">
        <v>1.0</v>
      </c>
      <c r="O25" s="27"/>
      <c r="P25" s="56" t="s">
        <v>109</v>
      </c>
      <c r="Q25" s="57">
        <v>2.0</v>
      </c>
      <c r="R25" s="27"/>
      <c r="S25" s="58" t="s">
        <v>112</v>
      </c>
      <c r="T25" s="59">
        <v>3.0</v>
      </c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>
      <c r="A26" s="25" t="s">
        <v>113</v>
      </c>
      <c r="B26" s="26">
        <v>1.0</v>
      </c>
      <c r="C26" s="27"/>
      <c r="D26" s="66" t="s">
        <v>106</v>
      </c>
      <c r="E26" s="29">
        <v>2.0</v>
      </c>
      <c r="F26" s="27"/>
      <c r="G26" s="30" t="s">
        <v>114</v>
      </c>
      <c r="H26" s="31">
        <v>1.0</v>
      </c>
      <c r="I26" s="27"/>
      <c r="J26" s="27"/>
      <c r="K26" s="27"/>
      <c r="L26" s="27"/>
      <c r="M26" s="34" t="s">
        <v>111</v>
      </c>
      <c r="N26" s="35">
        <v>1.0</v>
      </c>
      <c r="O26" s="27"/>
      <c r="P26" s="36" t="s">
        <v>111</v>
      </c>
      <c r="Q26" s="37">
        <v>2.0</v>
      </c>
      <c r="R26" s="27"/>
      <c r="S26" s="38" t="s">
        <v>115</v>
      </c>
      <c r="T26" s="39">
        <v>3.0</v>
      </c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>
      <c r="A27" s="46" t="s">
        <v>91</v>
      </c>
      <c r="B27" s="47">
        <v>1.0</v>
      </c>
      <c r="C27" s="27"/>
      <c r="D27" s="48" t="s">
        <v>81</v>
      </c>
      <c r="E27" s="49">
        <v>2.0</v>
      </c>
      <c r="F27" s="27"/>
      <c r="G27" s="50" t="s">
        <v>88</v>
      </c>
      <c r="H27" s="51">
        <v>3.0</v>
      </c>
      <c r="I27" s="27"/>
      <c r="J27" s="27"/>
      <c r="K27" s="27"/>
      <c r="L27" s="27"/>
      <c r="M27" s="54" t="s">
        <v>112</v>
      </c>
      <c r="N27" s="55">
        <v>1.0</v>
      </c>
      <c r="O27" s="27"/>
      <c r="P27" s="56" t="s">
        <v>112</v>
      </c>
      <c r="Q27" s="57">
        <v>2.0</v>
      </c>
      <c r="R27" s="27"/>
      <c r="S27" s="58" t="s">
        <v>116</v>
      </c>
      <c r="T27" s="59">
        <v>3.0</v>
      </c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>
      <c r="A28" s="25" t="s">
        <v>117</v>
      </c>
      <c r="B28" s="26">
        <v>1.0</v>
      </c>
      <c r="C28" s="27"/>
      <c r="D28" s="66" t="s">
        <v>84</v>
      </c>
      <c r="E28" s="29">
        <v>2.0</v>
      </c>
      <c r="F28" s="27"/>
      <c r="G28" s="30" t="s">
        <v>113</v>
      </c>
      <c r="H28" s="31">
        <v>3.0</v>
      </c>
      <c r="I28" s="27"/>
      <c r="J28" s="27"/>
      <c r="K28" s="27"/>
      <c r="L28" s="27"/>
      <c r="M28" s="34" t="s">
        <v>115</v>
      </c>
      <c r="N28" s="35">
        <v>1.0</v>
      </c>
      <c r="O28" s="27"/>
      <c r="P28" s="36" t="s">
        <v>115</v>
      </c>
      <c r="Q28" s="37">
        <v>2.0</v>
      </c>
      <c r="R28" s="27"/>
      <c r="S28" s="38" t="s">
        <v>118</v>
      </c>
      <c r="T28" s="39">
        <v>3.0</v>
      </c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>
      <c r="A29" s="46" t="s">
        <v>119</v>
      </c>
      <c r="B29" s="47">
        <v>1.0</v>
      </c>
      <c r="C29" s="27"/>
      <c r="D29" s="48" t="s">
        <v>88</v>
      </c>
      <c r="E29" s="49">
        <v>2.0</v>
      </c>
      <c r="F29" s="27"/>
      <c r="G29" s="50" t="s">
        <v>91</v>
      </c>
      <c r="H29" s="51">
        <v>3.0</v>
      </c>
      <c r="I29" s="27"/>
      <c r="J29" s="27"/>
      <c r="K29" s="27"/>
      <c r="L29" s="27"/>
      <c r="M29" s="54" t="s">
        <v>116</v>
      </c>
      <c r="N29" s="55">
        <v>1.0</v>
      </c>
      <c r="O29" s="27"/>
      <c r="P29" s="56" t="s">
        <v>116</v>
      </c>
      <c r="Q29" s="57">
        <v>2.0</v>
      </c>
      <c r="R29" s="27"/>
      <c r="S29" s="58" t="s">
        <v>120</v>
      </c>
      <c r="T29" s="59">
        <v>3.0</v>
      </c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>
      <c r="A30" s="25" t="s">
        <v>94</v>
      </c>
      <c r="B30" s="26">
        <v>1.0</v>
      </c>
      <c r="C30" s="27"/>
      <c r="D30" s="66" t="s">
        <v>121</v>
      </c>
      <c r="E30" s="29">
        <v>1.0</v>
      </c>
      <c r="F30" s="27"/>
      <c r="G30" s="30" t="s">
        <v>117</v>
      </c>
      <c r="H30" s="31">
        <v>3.0</v>
      </c>
      <c r="I30" s="27"/>
      <c r="J30" s="27"/>
      <c r="K30" s="27"/>
      <c r="L30" s="27"/>
      <c r="M30" s="34" t="s">
        <v>118</v>
      </c>
      <c r="N30" s="35">
        <v>1.0</v>
      </c>
      <c r="O30" s="27"/>
      <c r="P30" s="36" t="s">
        <v>118</v>
      </c>
      <c r="Q30" s="37">
        <v>2.0</v>
      </c>
      <c r="R30" s="27"/>
      <c r="S30" s="38" t="s">
        <v>122</v>
      </c>
      <c r="T30" s="39">
        <v>3.0</v>
      </c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>
      <c r="A31" s="46" t="s">
        <v>97</v>
      </c>
      <c r="B31" s="47">
        <v>1.0</v>
      </c>
      <c r="C31" s="27"/>
      <c r="D31" s="48" t="s">
        <v>123</v>
      </c>
      <c r="E31" s="49">
        <v>1.0</v>
      </c>
      <c r="F31" s="27"/>
      <c r="G31" s="50" t="s">
        <v>124</v>
      </c>
      <c r="H31" s="51">
        <v>1.0</v>
      </c>
      <c r="I31" s="27"/>
      <c r="J31" s="27"/>
      <c r="K31" s="27"/>
      <c r="L31" s="27"/>
      <c r="M31" s="54" t="s">
        <v>125</v>
      </c>
      <c r="N31" s="55">
        <v>1.0</v>
      </c>
      <c r="O31" s="27"/>
      <c r="P31" s="56" t="s">
        <v>125</v>
      </c>
      <c r="Q31" s="57">
        <v>2.0</v>
      </c>
      <c r="R31" s="27"/>
      <c r="S31" s="58" t="s">
        <v>126</v>
      </c>
      <c r="T31" s="59">
        <v>3.0</v>
      </c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>
      <c r="A32" s="25" t="s">
        <v>127</v>
      </c>
      <c r="B32" s="26">
        <v>1.0</v>
      </c>
      <c r="C32" s="27"/>
      <c r="D32" s="66" t="s">
        <v>113</v>
      </c>
      <c r="E32" s="29">
        <v>2.0</v>
      </c>
      <c r="F32" s="27"/>
      <c r="G32" s="30" t="s">
        <v>119</v>
      </c>
      <c r="H32" s="31">
        <v>3.0</v>
      </c>
      <c r="I32" s="27"/>
      <c r="J32" s="27"/>
      <c r="K32" s="27"/>
      <c r="L32" s="27"/>
      <c r="M32" s="34" t="s">
        <v>120</v>
      </c>
      <c r="N32" s="35">
        <v>1.0</v>
      </c>
      <c r="O32" s="27"/>
      <c r="P32" s="36" t="s">
        <v>120</v>
      </c>
      <c r="Q32" s="37">
        <v>2.0</v>
      </c>
      <c r="R32" s="27"/>
      <c r="S32" s="38" t="s">
        <v>128</v>
      </c>
      <c r="T32" s="39">
        <v>3.0</v>
      </c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>
      <c r="A33" s="46" t="s">
        <v>129</v>
      </c>
      <c r="B33" s="47">
        <v>1.0</v>
      </c>
      <c r="C33" s="27"/>
      <c r="D33" s="48" t="s">
        <v>91</v>
      </c>
      <c r="E33" s="49">
        <v>2.0</v>
      </c>
      <c r="F33" s="27"/>
      <c r="G33" s="50" t="s">
        <v>94</v>
      </c>
      <c r="H33" s="51">
        <v>3.0</v>
      </c>
      <c r="I33" s="27"/>
      <c r="J33" s="27"/>
      <c r="K33" s="27"/>
      <c r="L33" s="27"/>
      <c r="M33" s="54" t="s">
        <v>122</v>
      </c>
      <c r="N33" s="55">
        <v>1.0</v>
      </c>
      <c r="O33" s="27"/>
      <c r="P33" s="56" t="s">
        <v>122</v>
      </c>
      <c r="Q33" s="57">
        <v>2.0</v>
      </c>
      <c r="R33" s="27"/>
      <c r="S33" s="58" t="s">
        <v>130</v>
      </c>
      <c r="T33" s="59">
        <v>3.0</v>
      </c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>
      <c r="A34" s="25" t="s">
        <v>131</v>
      </c>
      <c r="B34" s="26">
        <v>1.0</v>
      </c>
      <c r="C34" s="27"/>
      <c r="D34" s="66" t="s">
        <v>117</v>
      </c>
      <c r="E34" s="29">
        <v>2.0</v>
      </c>
      <c r="F34" s="27"/>
      <c r="G34" s="30" t="s">
        <v>97</v>
      </c>
      <c r="H34" s="31">
        <v>3.0</v>
      </c>
      <c r="I34" s="27"/>
      <c r="J34" s="27"/>
      <c r="K34" s="27"/>
      <c r="L34" s="27"/>
      <c r="M34" s="34" t="s">
        <v>126</v>
      </c>
      <c r="N34" s="35">
        <v>1.0</v>
      </c>
      <c r="O34" s="27"/>
      <c r="P34" s="36" t="s">
        <v>126</v>
      </c>
      <c r="Q34" s="37">
        <v>2.0</v>
      </c>
      <c r="R34" s="27"/>
      <c r="S34" s="38" t="s">
        <v>132</v>
      </c>
      <c r="T34" s="39">
        <v>4.0</v>
      </c>
      <c r="U34" s="27"/>
      <c r="V34" s="27"/>
      <c r="W34" s="27"/>
      <c r="X34" s="27"/>
      <c r="Y34" s="27"/>
      <c r="Z34" s="27"/>
      <c r="AA34" s="27"/>
      <c r="AB34" s="27"/>
      <c r="AC34" s="27"/>
      <c r="AD34" s="27"/>
    </row>
    <row r="35">
      <c r="A35" s="46" t="s">
        <v>133</v>
      </c>
      <c r="B35" s="47">
        <v>1.0</v>
      </c>
      <c r="C35" s="27"/>
      <c r="D35" s="48" t="s">
        <v>119</v>
      </c>
      <c r="E35" s="49">
        <v>2.0</v>
      </c>
      <c r="F35" s="27"/>
      <c r="G35" s="50" t="s">
        <v>134</v>
      </c>
      <c r="H35" s="51">
        <v>1.0</v>
      </c>
      <c r="I35" s="27"/>
      <c r="J35" s="27"/>
      <c r="K35" s="27"/>
      <c r="L35" s="27"/>
      <c r="M35" s="54" t="s">
        <v>128</v>
      </c>
      <c r="N35" s="55">
        <v>1.0</v>
      </c>
      <c r="O35" s="27"/>
      <c r="P35" s="56" t="s">
        <v>128</v>
      </c>
      <c r="Q35" s="57">
        <v>2.0</v>
      </c>
      <c r="R35" s="27"/>
      <c r="S35" s="75" t="s">
        <v>135</v>
      </c>
      <c r="T35" s="76">
        <v>3.0</v>
      </c>
      <c r="U35" s="27"/>
      <c r="V35" s="27"/>
      <c r="W35" s="27"/>
      <c r="X35" s="27"/>
      <c r="Y35" s="27"/>
      <c r="Z35" s="27"/>
      <c r="AA35" s="27"/>
      <c r="AB35" s="27"/>
      <c r="AC35" s="27"/>
      <c r="AD35" s="27"/>
    </row>
    <row r="36">
      <c r="A36" s="25" t="s">
        <v>101</v>
      </c>
      <c r="B36" s="26">
        <v>1.0</v>
      </c>
      <c r="C36" s="27"/>
      <c r="D36" s="66" t="s">
        <v>94</v>
      </c>
      <c r="E36" s="29">
        <v>2.0</v>
      </c>
      <c r="F36" s="27"/>
      <c r="G36" s="30" t="s">
        <v>127</v>
      </c>
      <c r="H36" s="31">
        <v>3.0</v>
      </c>
      <c r="I36" s="27"/>
      <c r="J36" s="27"/>
      <c r="K36" s="27"/>
      <c r="L36" s="27"/>
      <c r="M36" s="34" t="s">
        <v>130</v>
      </c>
      <c r="N36" s="35">
        <v>1.0</v>
      </c>
      <c r="O36" s="27"/>
      <c r="P36" s="36" t="s">
        <v>130</v>
      </c>
      <c r="Q36" s="37">
        <v>2.0</v>
      </c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</row>
    <row r="37">
      <c r="A37" s="46" t="s">
        <v>104</v>
      </c>
      <c r="B37" s="47">
        <v>1.0</v>
      </c>
      <c r="C37" s="27"/>
      <c r="D37" s="48" t="s">
        <v>97</v>
      </c>
      <c r="E37" s="49">
        <v>2.0</v>
      </c>
      <c r="F37" s="27"/>
      <c r="G37" s="50" t="s">
        <v>136</v>
      </c>
      <c r="H37" s="51">
        <v>1.0</v>
      </c>
      <c r="I37" s="27"/>
      <c r="J37" s="27"/>
      <c r="K37" s="27"/>
      <c r="L37" s="27"/>
      <c r="M37" s="54" t="s">
        <v>132</v>
      </c>
      <c r="N37" s="55">
        <v>2.0</v>
      </c>
      <c r="O37" s="27"/>
      <c r="P37" s="56" t="s">
        <v>132</v>
      </c>
      <c r="Q37" s="57">
        <v>3.0</v>
      </c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</row>
    <row r="38">
      <c r="A38" s="77" t="s">
        <v>107</v>
      </c>
      <c r="B38" s="78">
        <v>1.0</v>
      </c>
      <c r="C38" s="27"/>
      <c r="D38" s="66" t="s">
        <v>127</v>
      </c>
      <c r="E38" s="29">
        <v>2.0</v>
      </c>
      <c r="F38" s="27"/>
      <c r="G38" s="30" t="s">
        <v>133</v>
      </c>
      <c r="H38" s="31">
        <v>3.0</v>
      </c>
      <c r="I38" s="27"/>
      <c r="J38" s="27"/>
      <c r="K38" s="27"/>
      <c r="L38" s="27"/>
      <c r="M38" s="79" t="s">
        <v>135</v>
      </c>
      <c r="N38" s="80">
        <v>1.0</v>
      </c>
      <c r="O38" s="27"/>
      <c r="P38" s="81" t="s">
        <v>135</v>
      </c>
      <c r="Q38" s="82">
        <v>2.0</v>
      </c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</row>
    <row r="39">
      <c r="A39" s="27"/>
      <c r="B39" s="27"/>
      <c r="C39" s="27"/>
      <c r="D39" s="48" t="s">
        <v>129</v>
      </c>
      <c r="E39" s="49">
        <v>2.0</v>
      </c>
      <c r="F39" s="27"/>
      <c r="G39" s="50" t="s">
        <v>101</v>
      </c>
      <c r="H39" s="51">
        <v>3.0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</row>
    <row r="40">
      <c r="A40" s="27"/>
      <c r="B40" s="27"/>
      <c r="C40" s="27"/>
      <c r="D40" s="66" t="s">
        <v>131</v>
      </c>
      <c r="E40" s="29">
        <v>2.0</v>
      </c>
      <c r="F40" s="27"/>
      <c r="G40" s="30" t="s">
        <v>104</v>
      </c>
      <c r="H40" s="31">
        <v>3.0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</row>
    <row r="41">
      <c r="A41" s="27"/>
      <c r="B41" s="27"/>
      <c r="C41" s="27"/>
      <c r="D41" s="48" t="s">
        <v>133</v>
      </c>
      <c r="E41" s="49">
        <v>2.0</v>
      </c>
      <c r="F41" s="27"/>
      <c r="G41" s="83" t="s">
        <v>107</v>
      </c>
      <c r="H41" s="84">
        <v>3.0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</row>
    <row r="42">
      <c r="A42" s="27"/>
      <c r="B42" s="27"/>
      <c r="C42" s="27"/>
      <c r="D42" s="66" t="s">
        <v>101</v>
      </c>
      <c r="E42" s="29">
        <v>2.0</v>
      </c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</row>
    <row r="43">
      <c r="A43" s="27"/>
      <c r="B43" s="27"/>
      <c r="C43" s="27"/>
      <c r="D43" s="48" t="s">
        <v>104</v>
      </c>
      <c r="E43" s="49">
        <v>2.0</v>
      </c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</row>
    <row r="44">
      <c r="A44" s="85"/>
      <c r="B44" s="85"/>
      <c r="C44" s="27"/>
      <c r="D44" s="86" t="s">
        <v>107</v>
      </c>
      <c r="E44" s="87">
        <v>2.0</v>
      </c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</row>
  </sheetData>
  <mergeCells count="10">
    <mergeCell ref="V1:W1"/>
    <mergeCell ref="Y1:Z1"/>
    <mergeCell ref="AB1:AC1"/>
    <mergeCell ref="A1:B1"/>
    <mergeCell ref="D1:E1"/>
    <mergeCell ref="G1:H1"/>
    <mergeCell ref="J1:K1"/>
    <mergeCell ref="M1:N1"/>
    <mergeCell ref="P1:Q1"/>
    <mergeCell ref="S1:T1"/>
  </mergeCells>
  <conditionalFormatting sqref="A39">
    <cfRule type="notContainsBlanks" dxfId="11" priority="1">
      <formula>LEN(TRIM(A39))&gt;0</formula>
    </cfRule>
  </conditionalFormatting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1.0</v>
      </c>
      <c r="C2" s="4">
        <v>6.0</v>
      </c>
      <c r="D2" s="4">
        <v>6.0</v>
      </c>
      <c r="E2" s="5" t="s">
        <v>6</v>
      </c>
      <c r="G2" s="88" t="s">
        <v>137</v>
      </c>
      <c r="H2" s="89" t="s">
        <v>138</v>
      </c>
      <c r="O2" s="90"/>
      <c r="P2" s="90"/>
    </row>
    <row r="3">
      <c r="A3" s="2" t="s">
        <v>5</v>
      </c>
      <c r="B3" s="3">
        <v>1.0</v>
      </c>
      <c r="C3" s="6">
        <v>7.0</v>
      </c>
      <c r="D3" s="7" t="s">
        <v>7</v>
      </c>
      <c r="E3" s="5" t="s">
        <v>6</v>
      </c>
      <c r="G3" s="91" t="s">
        <v>139</v>
      </c>
      <c r="H3" s="92" t="s">
        <v>140</v>
      </c>
      <c r="O3" s="90"/>
      <c r="P3" s="90"/>
    </row>
    <row r="4">
      <c r="A4" s="2" t="s">
        <v>5</v>
      </c>
      <c r="B4" s="3">
        <v>1.0</v>
      </c>
      <c r="C4" s="8">
        <v>8.0</v>
      </c>
      <c r="D4" s="4">
        <v>6.0</v>
      </c>
      <c r="E4" s="5" t="s">
        <v>6</v>
      </c>
      <c r="G4" s="91" t="s">
        <v>141</v>
      </c>
      <c r="H4" s="92" t="s">
        <v>142</v>
      </c>
      <c r="O4" s="90"/>
      <c r="P4" s="90"/>
    </row>
    <row r="5">
      <c r="A5" s="2" t="s">
        <v>5</v>
      </c>
      <c r="B5" s="3">
        <v>1.0</v>
      </c>
      <c r="C5" s="8">
        <v>8.0</v>
      </c>
      <c r="D5" s="8">
        <v>8.0</v>
      </c>
      <c r="E5" s="5" t="s">
        <v>6</v>
      </c>
      <c r="G5" s="91" t="s">
        <v>143</v>
      </c>
      <c r="H5" s="92" t="s">
        <v>144</v>
      </c>
      <c r="O5" s="90"/>
      <c r="P5" s="90"/>
    </row>
    <row r="6">
      <c r="A6" s="2" t="s">
        <v>5</v>
      </c>
      <c r="B6" s="3">
        <v>1.0</v>
      </c>
      <c r="C6" s="10">
        <v>9.0</v>
      </c>
      <c r="D6" s="7" t="s">
        <v>7</v>
      </c>
      <c r="E6" s="5" t="s">
        <v>6</v>
      </c>
      <c r="G6" s="91" t="s">
        <v>145</v>
      </c>
      <c r="H6" s="92" t="s">
        <v>146</v>
      </c>
      <c r="O6" s="90"/>
      <c r="P6" s="90"/>
    </row>
    <row r="7">
      <c r="A7" s="2" t="s">
        <v>5</v>
      </c>
      <c r="B7" s="3">
        <v>1.0</v>
      </c>
      <c r="C7" s="12">
        <v>10.0</v>
      </c>
      <c r="D7" s="7" t="s">
        <v>7</v>
      </c>
      <c r="E7" s="5" t="s">
        <v>6</v>
      </c>
      <c r="G7" s="91" t="s">
        <v>147</v>
      </c>
      <c r="H7" s="92" t="s">
        <v>148</v>
      </c>
      <c r="O7" s="90"/>
      <c r="P7" s="90"/>
    </row>
    <row r="8">
      <c r="A8" s="2" t="s">
        <v>8</v>
      </c>
      <c r="B8" s="3">
        <v>1.0</v>
      </c>
      <c r="C8" s="3">
        <v>1.0</v>
      </c>
      <c r="D8" s="6">
        <v>7.0</v>
      </c>
      <c r="E8" s="5" t="s">
        <v>9</v>
      </c>
      <c r="G8" s="91" t="s">
        <v>149</v>
      </c>
      <c r="H8" s="92" t="s">
        <v>150</v>
      </c>
      <c r="O8" s="90"/>
      <c r="P8" s="90"/>
    </row>
    <row r="9">
      <c r="A9" s="2" t="s">
        <v>8</v>
      </c>
      <c r="B9" s="3">
        <v>1.0</v>
      </c>
      <c r="C9" s="3">
        <v>1.0</v>
      </c>
      <c r="D9" s="12">
        <v>10.0</v>
      </c>
      <c r="E9" s="5" t="s">
        <v>9</v>
      </c>
      <c r="G9" s="93" t="s">
        <v>151</v>
      </c>
      <c r="H9" s="94" t="s">
        <v>152</v>
      </c>
      <c r="O9" s="90"/>
      <c r="P9" s="90"/>
    </row>
    <row r="10">
      <c r="A10" s="2" t="s">
        <v>8</v>
      </c>
      <c r="B10" s="13">
        <v>2.0</v>
      </c>
      <c r="C10" s="4">
        <v>6.0</v>
      </c>
      <c r="D10" s="4">
        <v>6.0</v>
      </c>
      <c r="E10" s="5" t="s">
        <v>9</v>
      </c>
      <c r="O10" s="90"/>
      <c r="P10" s="90"/>
    </row>
    <row r="11">
      <c r="A11" s="2" t="s">
        <v>8</v>
      </c>
      <c r="B11" s="13">
        <v>2.0</v>
      </c>
      <c r="C11" s="8">
        <v>8.0</v>
      </c>
      <c r="D11" s="4">
        <v>6.0</v>
      </c>
      <c r="E11" s="5" t="s">
        <v>9</v>
      </c>
      <c r="O11" s="90"/>
      <c r="P11" s="90"/>
    </row>
    <row r="12">
      <c r="A12" s="2" t="s">
        <v>8</v>
      </c>
      <c r="B12" s="13">
        <v>2.0</v>
      </c>
      <c r="C12" s="8">
        <v>8.0</v>
      </c>
      <c r="D12" s="8">
        <v>8.0</v>
      </c>
      <c r="E12" s="5" t="s">
        <v>9</v>
      </c>
    </row>
    <row r="13">
      <c r="A13" s="2" t="s">
        <v>8</v>
      </c>
      <c r="B13" s="13">
        <v>2.0</v>
      </c>
      <c r="C13" s="10">
        <v>9.0</v>
      </c>
      <c r="D13" s="7" t="s">
        <v>7</v>
      </c>
      <c r="E13" s="5" t="s">
        <v>9</v>
      </c>
    </row>
    <row r="14">
      <c r="A14" s="2" t="s">
        <v>8</v>
      </c>
      <c r="B14" s="13">
        <v>2.0</v>
      </c>
      <c r="C14" s="12">
        <v>10.0</v>
      </c>
      <c r="D14" s="7" t="s">
        <v>7</v>
      </c>
      <c r="E14" s="5" t="s">
        <v>9</v>
      </c>
    </row>
    <row r="15">
      <c r="A15" s="14" t="s">
        <v>10</v>
      </c>
      <c r="B15" s="13">
        <v>2.0</v>
      </c>
      <c r="C15" s="3">
        <v>1.0</v>
      </c>
      <c r="D15" s="6">
        <v>7.0</v>
      </c>
      <c r="E15" s="5" t="s">
        <v>11</v>
      </c>
    </row>
    <row r="16">
      <c r="A16" s="14" t="s">
        <v>10</v>
      </c>
      <c r="B16" s="13">
        <v>2.0</v>
      </c>
      <c r="C16" s="3">
        <v>1.0</v>
      </c>
      <c r="D16" s="8">
        <v>8.0</v>
      </c>
      <c r="E16" s="5" t="s">
        <v>12</v>
      </c>
    </row>
    <row r="17">
      <c r="A17" s="14" t="s">
        <v>10</v>
      </c>
      <c r="B17" s="13">
        <v>2.0</v>
      </c>
      <c r="C17" s="3">
        <v>1.0</v>
      </c>
      <c r="D17" s="12">
        <v>10.0</v>
      </c>
      <c r="E17" s="5" t="s">
        <v>11</v>
      </c>
    </row>
    <row r="18">
      <c r="A18" s="14" t="s">
        <v>10</v>
      </c>
      <c r="B18" s="15">
        <v>3.0</v>
      </c>
      <c r="C18" s="4">
        <v>6.0</v>
      </c>
      <c r="D18" s="16">
        <v>5.0</v>
      </c>
      <c r="E18" s="5" t="s">
        <v>11</v>
      </c>
    </row>
    <row r="19">
      <c r="A19" s="14" t="s">
        <v>10</v>
      </c>
      <c r="B19" s="15">
        <v>3.0</v>
      </c>
      <c r="C19" s="6">
        <v>7.0</v>
      </c>
      <c r="D19" s="7" t="s">
        <v>7</v>
      </c>
      <c r="E19" s="5" t="s">
        <v>11</v>
      </c>
    </row>
    <row r="20">
      <c r="A20" s="14" t="s">
        <v>10</v>
      </c>
      <c r="B20" s="15">
        <v>3.0</v>
      </c>
      <c r="C20" s="8">
        <v>8.0</v>
      </c>
      <c r="D20" s="16">
        <v>5.0</v>
      </c>
      <c r="E20" s="5" t="s">
        <v>11</v>
      </c>
    </row>
    <row r="21">
      <c r="A21" s="14" t="s">
        <v>10</v>
      </c>
      <c r="B21" s="15">
        <v>3.0</v>
      </c>
      <c r="C21" s="12">
        <v>10.0</v>
      </c>
      <c r="D21" s="7" t="s">
        <v>7</v>
      </c>
      <c r="E21" s="5" t="s">
        <v>11</v>
      </c>
    </row>
    <row r="22">
      <c r="A22" s="14" t="s">
        <v>10</v>
      </c>
      <c r="B22" s="18">
        <v>4.0</v>
      </c>
      <c r="C22" s="3">
        <v>1.0</v>
      </c>
      <c r="D22" s="3">
        <v>1.0</v>
      </c>
      <c r="E22" s="5" t="s">
        <v>11</v>
      </c>
    </row>
    <row r="23">
      <c r="A23" s="14" t="s">
        <v>13</v>
      </c>
      <c r="B23" s="13">
        <v>2.0</v>
      </c>
      <c r="C23" s="3">
        <v>1.0</v>
      </c>
      <c r="D23" s="6">
        <v>7.0</v>
      </c>
      <c r="E23" s="5" t="s">
        <v>14</v>
      </c>
    </row>
    <row r="24">
      <c r="A24" s="14" t="s">
        <v>13</v>
      </c>
      <c r="B24" s="13">
        <v>2.0</v>
      </c>
      <c r="C24" s="3">
        <v>1.0</v>
      </c>
      <c r="D24" s="8">
        <v>8.0</v>
      </c>
      <c r="E24" s="5" t="s">
        <v>14</v>
      </c>
    </row>
    <row r="25">
      <c r="A25" s="14" t="s">
        <v>13</v>
      </c>
      <c r="B25" s="13">
        <v>2.0</v>
      </c>
      <c r="C25" s="3">
        <v>1.0</v>
      </c>
      <c r="D25" s="12">
        <v>10.0</v>
      </c>
      <c r="E25" s="5" t="s">
        <v>14</v>
      </c>
    </row>
    <row r="26">
      <c r="A26" s="14" t="s">
        <v>13</v>
      </c>
      <c r="B26" s="15">
        <v>3.0</v>
      </c>
      <c r="C26" s="4">
        <v>6.0</v>
      </c>
      <c r="D26" s="16">
        <v>5.0</v>
      </c>
      <c r="E26" s="5" t="s">
        <v>14</v>
      </c>
    </row>
    <row r="27">
      <c r="A27" s="14" t="s">
        <v>13</v>
      </c>
      <c r="B27" s="15">
        <v>3.0</v>
      </c>
      <c r="C27" s="6">
        <v>7.0</v>
      </c>
      <c r="D27" s="7" t="s">
        <v>7</v>
      </c>
      <c r="E27" s="5" t="s">
        <v>14</v>
      </c>
    </row>
    <row r="28">
      <c r="A28" s="14" t="s">
        <v>13</v>
      </c>
      <c r="B28" s="15">
        <v>3.0</v>
      </c>
      <c r="C28" s="8">
        <v>8.0</v>
      </c>
      <c r="D28" s="16">
        <v>5.0</v>
      </c>
      <c r="E28" s="5" t="s">
        <v>14</v>
      </c>
    </row>
    <row r="29">
      <c r="A29" s="14" t="s">
        <v>13</v>
      </c>
      <c r="B29" s="15">
        <v>3.0</v>
      </c>
      <c r="C29" s="12">
        <v>10.0</v>
      </c>
      <c r="D29" s="7" t="s">
        <v>7</v>
      </c>
      <c r="E29" s="5" t="s">
        <v>14</v>
      </c>
    </row>
    <row r="30">
      <c r="A30" s="19" t="s">
        <v>13</v>
      </c>
      <c r="B30" s="20">
        <v>4.0</v>
      </c>
      <c r="C30" s="21">
        <v>1.0</v>
      </c>
      <c r="D30" s="21">
        <v>1.0</v>
      </c>
      <c r="E30" s="22" t="s">
        <v>14</v>
      </c>
    </row>
    <row r="32">
      <c r="B32" s="95">
        <f t="shared" ref="B32:D32" si="1">unique(B2:B30)</f>
        <v>1</v>
      </c>
      <c r="C32" s="95">
        <f t="shared" si="1"/>
        <v>6</v>
      </c>
      <c r="D32" s="95">
        <f t="shared" si="1"/>
        <v>6</v>
      </c>
    </row>
    <row r="33">
      <c r="B33" s="95">
        <v>2.0</v>
      </c>
      <c r="C33" s="95">
        <v>7.0</v>
      </c>
      <c r="D33" s="23" t="s">
        <v>7</v>
      </c>
    </row>
    <row r="34">
      <c r="B34" s="95">
        <v>3.0</v>
      </c>
      <c r="C34" s="95">
        <v>8.0</v>
      </c>
      <c r="D34" s="95">
        <v>8.0</v>
      </c>
    </row>
    <row r="35">
      <c r="B35" s="95">
        <v>4.0</v>
      </c>
      <c r="C35" s="95">
        <v>9.0</v>
      </c>
      <c r="D35" s="95">
        <v>7.0</v>
      </c>
    </row>
    <row r="36">
      <c r="C36" s="95">
        <v>10.0</v>
      </c>
      <c r="D36" s="95">
        <v>10.0</v>
      </c>
    </row>
    <row r="37">
      <c r="C37" s="95">
        <v>1.0</v>
      </c>
      <c r="D37" s="95">
        <v>5.0</v>
      </c>
    </row>
    <row r="38">
      <c r="D38" s="95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1" max="31" width="17.75"/>
  </cols>
  <sheetData>
    <row r="1">
      <c r="A1" s="96" t="s">
        <v>153</v>
      </c>
      <c r="D1" s="88" t="s">
        <v>154</v>
      </c>
      <c r="E1" s="97"/>
      <c r="F1" s="98"/>
      <c r="K1" s="99" t="s">
        <v>155</v>
      </c>
      <c r="P1" s="88" t="s">
        <v>156</v>
      </c>
      <c r="Q1" s="97"/>
      <c r="R1" s="98"/>
      <c r="W1" s="99" t="s">
        <v>157</v>
      </c>
      <c r="AB1" s="88"/>
      <c r="AC1" s="91"/>
      <c r="AD1" s="96" t="s">
        <v>158</v>
      </c>
    </row>
    <row r="2">
      <c r="D2" s="100" t="str">
        <f>IFERROR(__xludf.DUMMYFUNCTION("filter($A$4:$A$13,$B$4:$B$13=#REF!)"),"#N/A")</f>
        <v>#N/A</v>
      </c>
      <c r="F2" s="101" t="str">
        <f>IFERROR(__xludf.DUMMYFUNCTION("ifna(join("","",unique(filter(PossibleLayouts!$C$2:$C$30,PossibleLayouts!$B$2:$B$30=$D$2))),"""")"),"")</f>
        <v/>
      </c>
      <c r="K2" s="102"/>
      <c r="P2" s="100" t="str">
        <f>IFERROR(__xludf.DUMMYFUNCTION("filter($M$14:$M$23,$N$14:$N$23=#REF!)"),"#N/A")</f>
        <v>#N/A</v>
      </c>
      <c r="R2" s="101" t="str">
        <f>IFERROR(__xludf.DUMMYFUNCTION("ifna(join("","",unique(filter(PossibleLayouts!$D$2:$D$30,PossibleLayouts!$C$2:$C$30=$P$2,PossibleLayouts!$B$2:$B$30=$D$2))),"""")"),"")</f>
        <v/>
      </c>
      <c r="W2" s="102"/>
      <c r="AB2" s="100" t="str">
        <f>IFERROR(__xludf.DUMMYFUNCTION("if($W$3=""None"",""-"",filter($Y$14:$Y$23,$Z$14:$Z$23=#REF!))"),"-")</f>
        <v>-</v>
      </c>
      <c r="AC2" s="100"/>
      <c r="AD2" s="103" t="s">
        <v>159</v>
      </c>
    </row>
    <row r="3">
      <c r="A3" s="104" t="s">
        <v>160</v>
      </c>
      <c r="B3" s="105"/>
      <c r="D3" s="106"/>
      <c r="E3" s="107"/>
      <c r="F3" s="108" t="str">
        <f>IFERROR(__xludf.DUMMYFUNCTION("ifna(join("","",unique(filter(PossibleLayouts!$C$2:$C$30,PossibleLayouts!$B$2:$B$30=$D$3))),"""")"),"")</f>
        <v/>
      </c>
      <c r="G3" s="109" t="str">
        <f>if(and($D$3=4,$AD$5=1),$D$3,$D$2)</f>
        <v>#N/A</v>
      </c>
      <c r="K3" s="102" t="str">
        <f>IFERROR(__xludf.DUMMYFUNCTION("transpose(unique(split(join("","",D$7:D1000,E$7:E1000,F$7:F1000,G$7:G1000,H$7:H1000,I$7:I1000),"",""),1))"),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,,,,,,,,,,,,,,,,,,,,,,,,,,,,,,,,,,,,,,,,,,,,,,,,,,,,,,,,,,,,,,,,,,,,,,,,,,,,,,,,,,,,,,,,,,,,,,,,,,,,,,,,,,,,,,,,,,,,,,,,,,,,,,,,,,,,,,,,,,,,,,,,,,,,,,,,,,,,,"&amp;",,,,,,,,,,,,,,,,,,,,,,,,,,,,,,,,,,,,,,,,,,,,,,,,,,,,,,,,,,,,,,,,,,,,,,,,,,,,,,,,,,,,,,,,,,,,,,,,,,")</f>
        <v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v>
      </c>
      <c r="M3" s="104" t="s">
        <v>160</v>
      </c>
      <c r="N3" s="105"/>
      <c r="P3" s="106" t="b">
        <f>IFERROR(__xludf.DUMMYFUNCTION("if($D$3=4,filter($M$14:$M$23,$N$14:$N$23=#REF!))"),FALSE)</f>
        <v>0</v>
      </c>
      <c r="Q3" s="107"/>
      <c r="R3" s="108" t="str">
        <f>IFERROR(__xludf.DUMMYFUNCTION("ifna(join("","",unique(filter(PossibleLayouts!$D$2:$D$30,PossibleLayouts!$C$2:$C$30=$P$3,PossibleLayouts!$B$2:$B$30=$D$3))),"""")"),"")</f>
        <v/>
      </c>
      <c r="W3" s="102" t="str">
        <f>IFERROR(__xludf.DUMMYFUNCTION("iferror(transpose(unique(split(textjoin("","",True,P$7:P1000,Q$7:Q1000,R$7:R1000,S$7:S1000,T$7:T1000,U$7:U1000),"",""),1)),""None"")"),"None")</f>
        <v>None</v>
      </c>
      <c r="Y3" s="104" t="s">
        <v>160</v>
      </c>
      <c r="Z3" s="105"/>
      <c r="AB3" s="106"/>
      <c r="AC3" s="100"/>
      <c r="AD3" s="110" t="str">
        <f>if(and(G3=4,not(AD5=1)),D2,G3)</f>
        <v>#N/A</v>
      </c>
      <c r="AE3" s="111" t="str">
        <f>IFERROR(__xludf.DUMMYFUNCTION("filter(PossibleLayouts!$E$2:$E$30,PossibleLayouts!$B$2:$B$30=$AD$3,PossibleLayouts!$C$2:$C$30=$AD$4,PossibleLayouts!$D$2:$D$30=$AD$5)"),"#N/A")</f>
        <v>#N/A</v>
      </c>
      <c r="AG3" s="112" t="str">
        <f>textjoin(" ",1,$AE$3:$AE$31)</f>
        <v>#N/A</v>
      </c>
    </row>
    <row r="4">
      <c r="A4" s="113">
        <f t="array" ref="A4:A13">SEQUENCE(10,1)</f>
        <v>1</v>
      </c>
      <c r="B4" s="101" t="str">
        <f t="array" ref="B4">ifna(index(SkillGroups!$B$2:$B$38,match(#REF!,SkillGroups!$A$2:$A$38,0)),0)</f>
        <v>#REF!</v>
      </c>
      <c r="K4" s="102"/>
      <c r="M4" s="113">
        <f t="array" ref="M4:M13">SEQUENCE(10,1)</f>
        <v>1</v>
      </c>
      <c r="N4" s="101">
        <f t="array" ref="N4">ifna(if(not(countif(D$6:I$6,M4)=0),index(SkillGroups!$B$2:$B$38,match(#REF!,SkillGroups!$A$2:$A$38,0)),0),0)</f>
        <v>0</v>
      </c>
      <c r="Y4" s="113">
        <f t="array" ref="Y4:Y13">SEQUENCE(10,1)</f>
        <v>1</v>
      </c>
      <c r="Z4" s="101">
        <f t="array" ref="Z4">ifna(if(not(countif(P$6:U$6,Y4)=0),index(SkillGroups!$B$2:$B$38,match(#REF!,SkillGroups!$A$2:$A$38,0)),0),0)</f>
        <v>0</v>
      </c>
      <c r="AD4" s="110" t="str">
        <f>P2</f>
        <v>#N/A</v>
      </c>
      <c r="AE4" s="102"/>
      <c r="AG4" s="112" t="str">
        <f>IFERROR(__xludf.DUMMYFUNCTION("transpose(split(AG3,"" ""))"),"#N/A")</f>
        <v>#N/A</v>
      </c>
      <c r="AH4" s="105" t="str">
        <f t="array" ref="AH4">ifna(index(PossibleLayouts!$H$2:$H$9,match($AG4,PossibleLayouts!$G$2:$G$9,0)),"")</f>
        <v/>
      </c>
    </row>
    <row r="5">
      <c r="A5" s="100">
        <v>2.0</v>
      </c>
      <c r="B5" s="101" t="str">
        <f t="array" ref="B5">ifna(index(SkillGroups!$E$2:$E$44,match(#REF!,SkillGroups!$D$2:$D$44,0)),0)</f>
        <v>#REF!</v>
      </c>
      <c r="D5" s="109" t="str">
        <f>IFERROR(__xludf.DUMMYFUNCTION("join("","",unique(split(join("","",F$2,F$3),"",""),1))"),",")</f>
        <v>,</v>
      </c>
      <c r="M5" s="100">
        <v>2.0</v>
      </c>
      <c r="N5" s="101">
        <f t="array" ref="N5">ifna(if(not(countif(D$6:I$6,M5)=0),index(SkillGroups!$E$2:$E$44,match(#REF!,SkillGroups!$D$2:$D$44,0)),0),0)</f>
        <v>0</v>
      </c>
      <c r="P5" s="109" t="str">
        <f>IFERROR(__xludf.DUMMYFUNCTION("join("","",unique(split(join("","",R$2,R$3),"",""),1))"),",")</f>
        <v>,</v>
      </c>
      <c r="Y5" s="100">
        <v>2.0</v>
      </c>
      <c r="Z5" s="101">
        <f t="array" ref="Z5">ifna(if(not(countif(P$6:U$6,Y5)=0),index(SkillGroups!$E$2:$E$44,match(#REF!,SkillGroups!$D$2:$D$44,0)),0),0)</f>
        <v>0</v>
      </c>
      <c r="AD5" s="114" t="str">
        <f>AB2</f>
        <v>-</v>
      </c>
      <c r="AE5" s="102"/>
      <c r="AG5" s="100"/>
      <c r="AH5" s="101" t="str">
        <f t="array" ref="AH5">ifna(index(PossibleLayouts!$H$2:$H$9,match($AG5,PossibleLayouts!$G$2:$G$9,0)),"")</f>
        <v/>
      </c>
    </row>
    <row r="6">
      <c r="A6" s="100">
        <v>3.0</v>
      </c>
      <c r="B6" s="101" t="str">
        <f t="array" ref="B6">ifna(index(SkillGroups!$H$2:$H$41,match(#REF!,SkillGroups!$G$2:$G$41,0)),0)</f>
        <v>#REF!</v>
      </c>
      <c r="D6" s="112" t="str">
        <f>IFERROR(__xludf.DUMMYFUNCTION("split(D$5,"","")"),",")</f>
        <v>,</v>
      </c>
      <c r="E6" s="115"/>
      <c r="F6" s="115"/>
      <c r="G6" s="115"/>
      <c r="H6" s="115"/>
      <c r="I6" s="105"/>
      <c r="M6" s="100">
        <v>3.0</v>
      </c>
      <c r="N6" s="101">
        <f t="array" ref="N6">ifna(if(not(countif(D$6:I$6,M6)=0),index(SkillGroups!$H$2:$H$41,match(#REF!,SkillGroups!$G$2:$G$41,0)),0),0)</f>
        <v>0</v>
      </c>
      <c r="P6" s="112" t="str">
        <f>IFERROR(__xludf.DUMMYFUNCTION("split(P$5,"","")"),",")</f>
        <v>,</v>
      </c>
      <c r="Q6" s="115"/>
      <c r="R6" s="115"/>
      <c r="S6" s="115"/>
      <c r="T6" s="115"/>
      <c r="U6" s="105"/>
      <c r="Y6" s="100">
        <v>3.0</v>
      </c>
      <c r="Z6" s="101">
        <f t="array" ref="Z6">ifna(if(not(countif(P$6:U$6,Y6)=0),index(SkillGroups!$H$2:$H$41,match(#REF!,SkillGroups!$G$2:$G$41,0)),0),0)</f>
        <v>0</v>
      </c>
      <c r="AE6" s="102"/>
      <c r="AG6" s="100"/>
      <c r="AH6" s="101" t="str">
        <f t="array" ref="AH6">ifna(index(PossibleLayouts!$H$2:$H$9,match($AG6,PossibleLayouts!$G$2:$G$9,0)),"")</f>
        <v/>
      </c>
    </row>
    <row r="7">
      <c r="A7" s="100">
        <v>4.0</v>
      </c>
      <c r="B7" s="101" t="str">
        <f t="array" ref="B7">ifna(index(SkillGroups!$K$2:$K$22,match(#REF!,SkillGroups!$J$2:$J$22,0)),0)</f>
        <v>#REF!</v>
      </c>
      <c r="D7" s="100" t="str">
        <f>IFERROR(__xludf.DUMMYFUNCTION("ifna(filter(SkillList!$A$2:$A$289,SkillList!$C$2:$C$289=D$6),"""")"),"")</f>
        <v/>
      </c>
      <c r="E7" s="95" t="str">
        <f>IFERROR(__xludf.DUMMYFUNCTION("ifna(filter(SkillList!$A$2:$A$289,SkillList!$C$2:$C$289=E$6),"""")"),"")</f>
        <v/>
      </c>
      <c r="F7" s="95" t="str">
        <f>IFERROR(__xludf.DUMMYFUNCTION("ifna(filter(SkillList!$A$2:$A$289,SkillList!$C$2:$C$289=F$6),"""")"),"")</f>
        <v/>
      </c>
      <c r="G7" s="95" t="str">
        <f>IFERROR(__xludf.DUMMYFUNCTION("ifna(filter(SkillList!$A$2:$A$289,SkillList!$C$2:$C$289=G$6),"""")"),"")</f>
        <v/>
      </c>
      <c r="H7" s="95" t="str">
        <f>IFERROR(__xludf.DUMMYFUNCTION("ifna(filter(SkillList!$A$2:$A$289,SkillList!$C$2:$C$289=H$6),"""")"),"")</f>
        <v/>
      </c>
      <c r="I7" s="101" t="str">
        <f>IFERROR(__xludf.DUMMYFUNCTION("ifna(filter(SkillList!$A$2:$A$289,SkillList!$C$2:$C$289=I$6),"""")"),"")</f>
        <v/>
      </c>
      <c r="M7" s="100">
        <v>4.0</v>
      </c>
      <c r="N7" s="101">
        <f t="array" ref="N7">ifna(if(not(countif(D$6:I$6,M7)=0),index(SkillGroups!$K$2:$K$22,match(#REF!,SkillGroups!$J$2:$J$22,0)),0),0)</f>
        <v>0</v>
      </c>
      <c r="P7" s="100" t="str">
        <f>IFERROR(__xludf.DUMMYFUNCTION("ifna(filter(SkillList!$A$2:$A$289,SkillList!$C$2:$C$289=P$6),"""")"),"")</f>
        <v/>
      </c>
      <c r="Q7" s="95" t="str">
        <f>IFERROR(__xludf.DUMMYFUNCTION("ifna(filter(SkillList!$A$2:$A$289,SkillList!$C$2:$C$289=Q$6),"""")"),"")</f>
        <v/>
      </c>
      <c r="R7" s="95" t="str">
        <f>IFERROR(__xludf.DUMMYFUNCTION("ifna(filter(SkillList!$A$2:$A$289,SkillList!$C$2:$C$289=R$6),"""")"),"")</f>
        <v/>
      </c>
      <c r="S7" s="95" t="str">
        <f>IFERROR(__xludf.DUMMYFUNCTION("ifna(filter(SkillList!$A$2:$A$289,SkillList!$C$2:$C$289=S$6),"""")"),"")</f>
        <v/>
      </c>
      <c r="T7" s="95" t="str">
        <f>IFERROR(__xludf.DUMMYFUNCTION("ifna(filter(SkillList!$A$2:$A$289,SkillList!$C$2:$C$289=T$6),"""")"),"")</f>
        <v/>
      </c>
      <c r="U7" s="101" t="str">
        <f>IFERROR(__xludf.DUMMYFUNCTION("ifna(filter(SkillList!$A$2:$A$289,SkillList!$C$2:$C$289=U$6),"""")"),"")</f>
        <v/>
      </c>
      <c r="Y7" s="100">
        <v>4.0</v>
      </c>
      <c r="Z7" s="101">
        <f t="array" ref="Z7">ifna(if(not(countif(P$6:U$6,Y7)=0),index(SkillGroups!$K$2:$K$22,match(#REF!,SkillGroups!$J$2:$J$22,0)),0),0)</f>
        <v>0</v>
      </c>
      <c r="AE7" s="102"/>
      <c r="AG7" s="100"/>
      <c r="AH7" s="101" t="str">
        <f t="array" ref="AH7">ifna(index(PossibleLayouts!$H$2:$H$9,match($AG7,PossibleLayouts!$G$2:$G$9,0)),"")</f>
        <v/>
      </c>
    </row>
    <row r="8">
      <c r="A8" s="100">
        <v>5.0</v>
      </c>
      <c r="B8" s="116"/>
      <c r="D8" s="100"/>
      <c r="I8" s="101"/>
      <c r="M8" s="100">
        <v>5.0</v>
      </c>
      <c r="N8" s="101">
        <f t="array" ref="N8">ifna(if(not(countif(D$6:I$6,M8)=0),index(SkillGroups!$N$2:$N$38,match(#REF!,SkillGroups!$M$2:$M$38,0)),0),0)</f>
        <v>0</v>
      </c>
      <c r="P8" s="100"/>
      <c r="U8" s="101"/>
      <c r="Y8" s="100">
        <v>5.0</v>
      </c>
      <c r="Z8" s="101">
        <f t="array" ref="Z8">ifna(if(not(countif(P$6:U$6,Y8)=0),index(SkillGroups!$N$2:$N$38,match(#REF!,SkillGroups!$M$2:$M$38,0)),0),0)</f>
        <v>0</v>
      </c>
      <c r="AE8" s="102"/>
      <c r="AG8" s="100"/>
      <c r="AH8" s="101" t="str">
        <f t="array" ref="AH8">ifna(index(PossibleLayouts!$H$2:$H$9,match($AG8,PossibleLayouts!$G$2:$G$9,0)),"")</f>
        <v/>
      </c>
    </row>
    <row r="9">
      <c r="A9" s="100">
        <v>6.0</v>
      </c>
      <c r="B9" s="116"/>
      <c r="M9" s="100">
        <v>6.0</v>
      </c>
      <c r="N9" s="101">
        <f t="array" ref="N9">ifna(if(not(countif(D$6:I$6,M9)=0),index(SkillGroups!$Q$2:$Q$38,match(#REF!,SkillGroups!$P$2:$P$38,0)),0),0)</f>
        <v>0</v>
      </c>
      <c r="Y9" s="100">
        <v>6.0</v>
      </c>
      <c r="Z9" s="101">
        <f t="array" ref="Z9">ifna(if(not(countif(P$6:U$6,Y9)=0),index(SkillGroups!$Q$2:$Q$38,match(#REF!,SkillGroups!$P$2:$P$38,0)),0),0)</f>
        <v>0</v>
      </c>
      <c r="AE9" s="102"/>
      <c r="AG9" s="100"/>
      <c r="AH9" s="101" t="str">
        <f t="array" ref="AH9">ifna(index(PossibleLayouts!$H$2:$H$9,match($AG9,PossibleLayouts!$G$2:$G$9,0)),"")</f>
        <v/>
      </c>
    </row>
    <row r="10">
      <c r="A10" s="100">
        <v>7.0</v>
      </c>
      <c r="B10" s="116"/>
      <c r="M10" s="100">
        <v>7.0</v>
      </c>
      <c r="N10" s="101">
        <f t="array" ref="N10">ifna(if(not(countif(D$6:I$6,M10)=0),index(SkillGroups!$T$2:$T$35,match(#REF!,SkillGroups!$S$2:$S$35,0)),0),0)</f>
        <v>0</v>
      </c>
      <c r="Y10" s="100">
        <v>7.0</v>
      </c>
      <c r="Z10" s="101">
        <f t="array" ref="Z10">ifna(if(not(countif(P$6:U$6,Y10)=0),index(SkillGroups!$T$2:$T$35,match(#REF!,SkillGroups!$S$2:$S$35,0)),0),0)</f>
        <v>0</v>
      </c>
      <c r="AE10" s="102"/>
      <c r="AG10" s="100"/>
      <c r="AH10" s="101" t="str">
        <f t="array" ref="AH10">ifna(index(PossibleLayouts!$H$2:$H$9,match($AG10,PossibleLayouts!$G$2:$G$9,0)),"")</f>
        <v/>
      </c>
    </row>
    <row r="11">
      <c r="A11" s="100">
        <v>8.0</v>
      </c>
      <c r="B11" s="116"/>
      <c r="M11" s="100">
        <v>8.0</v>
      </c>
      <c r="N11" s="101">
        <f t="array" ref="N11">ifna(if(not(countif(D$6:I$6,M11)=0),index(SkillGroups!$W$2:$W$16,match(#REF!,SkillGroups!$V$2:$V$16,0)),0),0)</f>
        <v>0</v>
      </c>
      <c r="Y11" s="100">
        <v>8.0</v>
      </c>
      <c r="Z11" s="101">
        <f t="array" ref="Z11">ifna(if(not(countif(P$6:U$6,Y11)=0),index(SkillGroups!$W$2:$W$16,match(#REF!,SkillGroups!$V$2:$V$16,0)),0),0)</f>
        <v>0</v>
      </c>
      <c r="AE11" s="102"/>
      <c r="AG11" s="100"/>
      <c r="AH11" s="101" t="str">
        <f t="array" ref="AH11">ifna(index(PossibleLayouts!$H$2:$H$9,match($AG11,PossibleLayouts!$G$2:$G$9,0)),"")</f>
        <v/>
      </c>
    </row>
    <row r="12">
      <c r="A12" s="100">
        <v>9.0</v>
      </c>
      <c r="B12" s="116"/>
      <c r="M12" s="100">
        <v>9.0</v>
      </c>
      <c r="N12" s="101">
        <f t="array" ref="N12">ifna(if(not(countif(D$6:I$6,M12)=0),index(SkillGroups!$Z$2:$Z$16,match(#REF!,SkillGroups!$Y$2:$Y$16,0)),0),0)</f>
        <v>0</v>
      </c>
      <c r="Y12" s="100">
        <v>9.0</v>
      </c>
      <c r="Z12" s="101">
        <f t="array" ref="Z12">ifna(if(not(countif(P$6:U$6,Y12)=0),index(SkillGroups!$Z$2:$Z$16,match(#REF!,SkillGroups!$Y$2:$Y$16,0)),0),0)</f>
        <v>0</v>
      </c>
      <c r="AE12" s="102"/>
      <c r="AG12" s="106"/>
      <c r="AH12" s="108"/>
    </row>
    <row r="13">
      <c r="A13" s="106">
        <v>10.0</v>
      </c>
      <c r="B13" s="117"/>
      <c r="M13" s="106">
        <v>10.0</v>
      </c>
      <c r="N13" s="108">
        <f t="array" ref="N13">ifna(if(not(countif(D$6:I$6,M13)=0),index(SkillGroups!$AC$2:$AC$10,match(#REF!,SkillGroups!$AB$2:$AB$10,0)),0),0)</f>
        <v>0</v>
      </c>
      <c r="Y13" s="106">
        <v>10.0</v>
      </c>
      <c r="Z13" s="108">
        <f t="array" ref="Z13">ifna(if(not(countif(P$6:U$6,Y13)=0),index(SkillGroups!$AC$2:$AC$10,match(#REF!,SkillGroups!$AB$2:$AB$10,0)),0),0)</f>
        <v>0</v>
      </c>
      <c r="AE13" s="102"/>
    </row>
    <row r="14">
      <c r="M14" s="113">
        <f t="array" ref="M14:M23">SEQUENCE(10,1)</f>
        <v>1</v>
      </c>
      <c r="N14" s="101">
        <f>if(countif($D$6:$I$6,M14)=1,N4,0)</f>
        <v>0</v>
      </c>
      <c r="Y14" s="113">
        <f t="array" ref="Y14:Y23">SEQUENCE(10,1)</f>
        <v>1</v>
      </c>
      <c r="Z14" s="101">
        <f>if(countif($P$6:$U$6,Y14)=1,Z4,0)</f>
        <v>0</v>
      </c>
      <c r="AE14" s="102"/>
    </row>
    <row r="15">
      <c r="A15" s="104" t="s">
        <v>161</v>
      </c>
      <c r="B15" s="105" t="str">
        <f>IFERROR(__xludf.DUMMYFUNCTION("unique(filter($B$4:$B$13,not($B$4:$B$13=0)))"),"#N/A")</f>
        <v>#N/A</v>
      </c>
      <c r="M15" s="100">
        <v>2.0</v>
      </c>
      <c r="N15" s="116"/>
      <c r="Y15" s="100">
        <v>2.0</v>
      </c>
      <c r="Z15" s="101"/>
      <c r="AE15" s="102"/>
    </row>
    <row r="16">
      <c r="A16" s="100"/>
      <c r="B16" s="101"/>
      <c r="M16" s="100">
        <v>3.0</v>
      </c>
      <c r="N16" s="116"/>
      <c r="Y16" s="100">
        <v>3.0</v>
      </c>
      <c r="Z16" s="101"/>
      <c r="AE16" s="102"/>
    </row>
    <row r="17">
      <c r="A17" s="100"/>
      <c r="B17" s="101"/>
      <c r="M17" s="100">
        <v>4.0</v>
      </c>
      <c r="N17" s="116"/>
      <c r="Y17" s="100">
        <v>4.0</v>
      </c>
      <c r="Z17" s="101"/>
      <c r="AE17" s="102"/>
    </row>
    <row r="18">
      <c r="A18" s="100"/>
      <c r="B18" s="101"/>
      <c r="M18" s="100">
        <v>5.0</v>
      </c>
      <c r="N18" s="116"/>
      <c r="Y18" s="100">
        <v>5.0</v>
      </c>
      <c r="Z18" s="101">
        <f t="shared" ref="Z18:Z21" si="1">if(countif($P$6:$U$6,Y18)=1,Z8,0)</f>
        <v>0</v>
      </c>
      <c r="AE18" s="102"/>
    </row>
    <row r="19">
      <c r="A19" s="100"/>
      <c r="B19" s="101"/>
      <c r="M19" s="100">
        <v>6.0</v>
      </c>
      <c r="N19" s="101">
        <f t="shared" ref="N19:N23" si="2">if(countif($D$6:$I$6,M19)=1,N9,0)</f>
        <v>0</v>
      </c>
      <c r="Y19" s="100">
        <v>6.0</v>
      </c>
      <c r="Z19" s="101">
        <f t="shared" si="1"/>
        <v>0</v>
      </c>
      <c r="AE19" s="102"/>
    </row>
    <row r="20">
      <c r="A20" s="100"/>
      <c r="B20" s="101"/>
      <c r="M20" s="100">
        <v>7.0</v>
      </c>
      <c r="N20" s="101">
        <f t="shared" si="2"/>
        <v>0</v>
      </c>
      <c r="Y20" s="100">
        <v>7.0</v>
      </c>
      <c r="Z20" s="101">
        <f t="shared" si="1"/>
        <v>0</v>
      </c>
      <c r="AE20" s="102"/>
    </row>
    <row r="21">
      <c r="A21" s="106"/>
      <c r="B21" s="108"/>
      <c r="M21" s="100">
        <v>8.0</v>
      </c>
      <c r="N21" s="101">
        <f t="shared" si="2"/>
        <v>0</v>
      </c>
      <c r="Y21" s="100">
        <v>8.0</v>
      </c>
      <c r="Z21" s="101">
        <f t="shared" si="1"/>
        <v>0</v>
      </c>
      <c r="AE21" s="102"/>
    </row>
    <row r="22">
      <c r="M22" s="100">
        <v>9.0</v>
      </c>
      <c r="N22" s="101">
        <f t="shared" si="2"/>
        <v>0</v>
      </c>
      <c r="Y22" s="100">
        <v>9.0</v>
      </c>
      <c r="Z22" s="101"/>
      <c r="AE22" s="102"/>
    </row>
    <row r="23">
      <c r="M23" s="106">
        <v>10.0</v>
      </c>
      <c r="N23" s="108">
        <f t="shared" si="2"/>
        <v>0</v>
      </c>
      <c r="Y23" s="106">
        <v>10.0</v>
      </c>
      <c r="Z23" s="108">
        <f>if(countif($P$6:$U$6,Y23)=1,Z13,0)</f>
        <v>0</v>
      </c>
      <c r="AE23" s="102"/>
    </row>
    <row r="24">
      <c r="AE24" s="102"/>
    </row>
    <row r="25">
      <c r="M25" s="104" t="s">
        <v>161</v>
      </c>
      <c r="N25" s="105" t="str">
        <f>IFERROR(__xludf.DUMMYFUNCTION("unique(filter(N$14:N$23,not(N$14:N$23=0)))"),"#N/A")</f>
        <v>#N/A</v>
      </c>
      <c r="Y25" s="104" t="s">
        <v>161</v>
      </c>
      <c r="Z25" s="105">
        <f>IFERROR(__xludf.DUMMYFUNCTION("ifna(unique(filter(Z$14:Z$23,not(Z$14:Z$23=0))),0)"),0.0)</f>
        <v>0</v>
      </c>
      <c r="AE25" s="102"/>
    </row>
    <row r="26">
      <c r="M26" s="100"/>
      <c r="N26" s="101"/>
      <c r="Y26" s="100"/>
      <c r="Z26" s="101"/>
      <c r="AE26" s="102"/>
    </row>
    <row r="27">
      <c r="M27" s="100"/>
      <c r="N27" s="101"/>
      <c r="Y27" s="100"/>
      <c r="Z27" s="101"/>
      <c r="AE27" s="102"/>
    </row>
    <row r="28">
      <c r="M28" s="100"/>
      <c r="N28" s="101"/>
      <c r="Y28" s="100"/>
      <c r="Z28" s="101"/>
      <c r="AE28" s="102"/>
    </row>
    <row r="29">
      <c r="M29" s="100"/>
      <c r="N29" s="101"/>
      <c r="Y29" s="100"/>
      <c r="Z29" s="101"/>
      <c r="AE29" s="102"/>
    </row>
    <row r="30">
      <c r="M30" s="100"/>
      <c r="N30" s="101"/>
      <c r="Y30" s="100"/>
      <c r="Z30" s="101"/>
      <c r="AE30" s="102"/>
    </row>
    <row r="31">
      <c r="M31" s="106"/>
      <c r="N31" s="108"/>
      <c r="Y31" s="106"/>
      <c r="Z31" s="108"/>
      <c r="AE31" s="118"/>
    </row>
  </sheetData>
  <mergeCells count="2">
    <mergeCell ref="D1:F1"/>
    <mergeCell ref="P1:R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9" t="s">
        <v>162</v>
      </c>
      <c r="B1" s="119" t="s">
        <v>163</v>
      </c>
      <c r="C1" s="24" t="s">
        <v>160</v>
      </c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>
      <c r="A2" s="121" t="s">
        <v>25</v>
      </c>
      <c r="B2" s="122">
        <v>1.0</v>
      </c>
      <c r="C2" s="123">
        <v>1.0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</row>
    <row r="3">
      <c r="A3" s="121" t="s">
        <v>27</v>
      </c>
      <c r="B3" s="122">
        <v>1.0</v>
      </c>
      <c r="C3" s="123">
        <v>1.0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>
      <c r="A4" s="121" t="s">
        <v>32</v>
      </c>
      <c r="B4" s="122">
        <v>1.0</v>
      </c>
      <c r="C4" s="123">
        <v>1.0</v>
      </c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>
      <c r="A5" s="121" t="s">
        <v>36</v>
      </c>
      <c r="B5" s="122">
        <v>1.0</v>
      </c>
      <c r="C5" s="123">
        <v>1.0</v>
      </c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>
      <c r="A6" s="121" t="s">
        <v>45</v>
      </c>
      <c r="B6" s="122">
        <v>1.0</v>
      </c>
      <c r="C6" s="123">
        <v>1.0</v>
      </c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>
      <c r="A7" s="121" t="s">
        <v>50</v>
      </c>
      <c r="B7" s="122">
        <v>1.0</v>
      </c>
      <c r="C7" s="123">
        <v>1.0</v>
      </c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>
      <c r="A8" s="121" t="s">
        <v>56</v>
      </c>
      <c r="B8" s="122">
        <v>1.0</v>
      </c>
      <c r="C8" s="123">
        <v>1.0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>
      <c r="A9" s="121" t="s">
        <v>46</v>
      </c>
      <c r="B9" s="122">
        <v>1.0</v>
      </c>
      <c r="C9" s="123">
        <v>1.0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>
      <c r="A10" s="121" t="s">
        <v>52</v>
      </c>
      <c r="B10" s="122">
        <v>1.0</v>
      </c>
      <c r="C10" s="123">
        <v>1.0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>
      <c r="A11" s="121" t="s">
        <v>70</v>
      </c>
      <c r="B11" s="122">
        <v>1.0</v>
      </c>
      <c r="C11" s="123">
        <v>1.0</v>
      </c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</row>
    <row r="12">
      <c r="A12" s="121" t="s">
        <v>57</v>
      </c>
      <c r="B12" s="122">
        <v>1.0</v>
      </c>
      <c r="C12" s="123">
        <v>1.0</v>
      </c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</row>
    <row r="13">
      <c r="A13" s="121" t="s">
        <v>61</v>
      </c>
      <c r="B13" s="122">
        <v>1.0</v>
      </c>
      <c r="C13" s="123">
        <v>1.0</v>
      </c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</row>
    <row r="14">
      <c r="A14" s="121" t="s">
        <v>80</v>
      </c>
      <c r="B14" s="122">
        <v>1.0</v>
      </c>
      <c r="C14" s="123">
        <v>1.0</v>
      </c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</row>
    <row r="15">
      <c r="A15" s="121" t="s">
        <v>66</v>
      </c>
      <c r="B15" s="122">
        <v>1.0</v>
      </c>
      <c r="C15" s="123">
        <v>1.0</v>
      </c>
      <c r="D15" s="120"/>
      <c r="E15" s="120"/>
      <c r="F15" s="120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</row>
    <row r="16">
      <c r="A16" s="121" t="s">
        <v>71</v>
      </c>
      <c r="B16" s="122">
        <v>1.0</v>
      </c>
      <c r="C16" s="123">
        <v>1.0</v>
      </c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</row>
    <row r="17">
      <c r="A17" s="121" t="s">
        <v>74</v>
      </c>
      <c r="B17" s="122">
        <v>1.0</v>
      </c>
      <c r="C17" s="123">
        <v>1.0</v>
      </c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</row>
    <row r="18">
      <c r="A18" s="121" t="s">
        <v>93</v>
      </c>
      <c r="B18" s="122">
        <v>1.0</v>
      </c>
      <c r="C18" s="123">
        <v>1.0</v>
      </c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</row>
    <row r="19">
      <c r="A19" s="121" t="s">
        <v>77</v>
      </c>
      <c r="B19" s="122">
        <v>1.0</v>
      </c>
      <c r="C19" s="123">
        <v>1.0</v>
      </c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>
      <c r="A20" s="121" t="s">
        <v>99</v>
      </c>
      <c r="B20" s="122">
        <v>1.0</v>
      </c>
      <c r="C20" s="123">
        <v>1.0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>
      <c r="A21" s="121" t="s">
        <v>100</v>
      </c>
      <c r="B21" s="122">
        <v>1.0</v>
      </c>
      <c r="C21" s="123">
        <v>1.0</v>
      </c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>
      <c r="A22" s="121" t="s">
        <v>106</v>
      </c>
      <c r="B22" s="122">
        <v>1.0</v>
      </c>
      <c r="C22" s="123">
        <v>1.0</v>
      </c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>
      <c r="A23" s="121" t="s">
        <v>81</v>
      </c>
      <c r="B23" s="122">
        <v>1.0</v>
      </c>
      <c r="C23" s="123">
        <v>1.0</v>
      </c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>
      <c r="A24" s="121" t="s">
        <v>84</v>
      </c>
      <c r="B24" s="122">
        <v>1.0</v>
      </c>
      <c r="C24" s="123">
        <v>1.0</v>
      </c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>
      <c r="A25" s="121" t="s">
        <v>88</v>
      </c>
      <c r="B25" s="122">
        <v>1.0</v>
      </c>
      <c r="C25" s="123">
        <v>1.0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>
      <c r="A26" s="121" t="s">
        <v>113</v>
      </c>
      <c r="B26" s="122">
        <v>1.0</v>
      </c>
      <c r="C26" s="123">
        <v>1.0</v>
      </c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>
      <c r="A27" s="121" t="s">
        <v>91</v>
      </c>
      <c r="B27" s="122">
        <v>1.0</v>
      </c>
      <c r="C27" s="123">
        <v>1.0</v>
      </c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>
      <c r="A28" s="121" t="s">
        <v>117</v>
      </c>
      <c r="B28" s="122">
        <v>1.0</v>
      </c>
      <c r="C28" s="123">
        <v>1.0</v>
      </c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>
      <c r="A29" s="121" t="s">
        <v>119</v>
      </c>
      <c r="B29" s="122">
        <v>1.0</v>
      </c>
      <c r="C29" s="123">
        <v>1.0</v>
      </c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>
      <c r="A30" s="121" t="s">
        <v>94</v>
      </c>
      <c r="B30" s="122">
        <v>1.0</v>
      </c>
      <c r="C30" s="123">
        <v>1.0</v>
      </c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>
      <c r="A31" s="121" t="s">
        <v>97</v>
      </c>
      <c r="B31" s="122">
        <v>1.0</v>
      </c>
      <c r="C31" s="123">
        <v>1.0</v>
      </c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>
      <c r="A32" s="121" t="s">
        <v>127</v>
      </c>
      <c r="B32" s="122">
        <v>1.0</v>
      </c>
      <c r="C32" s="123">
        <v>1.0</v>
      </c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>
      <c r="A33" s="121" t="s">
        <v>129</v>
      </c>
      <c r="B33" s="122">
        <v>1.0</v>
      </c>
      <c r="C33" s="123">
        <v>1.0</v>
      </c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>
      <c r="A34" s="121" t="s">
        <v>131</v>
      </c>
      <c r="B34" s="122">
        <v>1.0</v>
      </c>
      <c r="C34" s="123">
        <v>1.0</v>
      </c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>
      <c r="A35" s="121" t="s">
        <v>133</v>
      </c>
      <c r="B35" s="122">
        <v>1.0</v>
      </c>
      <c r="C35" s="123">
        <v>1.0</v>
      </c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>
      <c r="A36" s="121" t="s">
        <v>101</v>
      </c>
      <c r="B36" s="122">
        <v>1.0</v>
      </c>
      <c r="C36" s="123">
        <v>1.0</v>
      </c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>
      <c r="A37" s="121" t="s">
        <v>104</v>
      </c>
      <c r="B37" s="122">
        <v>1.0</v>
      </c>
      <c r="C37" s="123">
        <v>1.0</v>
      </c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>
      <c r="A38" s="121" t="s">
        <v>107</v>
      </c>
      <c r="B38" s="122">
        <v>1.0</v>
      </c>
      <c r="C38" s="123">
        <v>1.0</v>
      </c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>
      <c r="A39" s="124" t="s">
        <v>26</v>
      </c>
      <c r="B39" s="122">
        <v>1.0</v>
      </c>
      <c r="C39" s="125">
        <v>2.0</v>
      </c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>
      <c r="A40" s="121" t="s">
        <v>25</v>
      </c>
      <c r="B40" s="122">
        <v>2.0</v>
      </c>
      <c r="C40" s="125">
        <v>2.0</v>
      </c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>
      <c r="A41" s="121" t="s">
        <v>27</v>
      </c>
      <c r="B41" s="122">
        <v>2.0</v>
      </c>
      <c r="C41" s="125">
        <v>2.0</v>
      </c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>
      <c r="A42" s="121" t="s">
        <v>32</v>
      </c>
      <c r="B42" s="122">
        <v>2.0</v>
      </c>
      <c r="C42" s="125">
        <v>2.0</v>
      </c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>
      <c r="A43" s="121" t="s">
        <v>36</v>
      </c>
      <c r="B43" s="122">
        <v>2.0</v>
      </c>
      <c r="C43" s="125">
        <v>2.0</v>
      </c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>
      <c r="A44" s="121" t="s">
        <v>51</v>
      </c>
      <c r="B44" s="122">
        <v>1.0</v>
      </c>
      <c r="C44" s="125">
        <v>2.0</v>
      </c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>
      <c r="A45" s="121" t="s">
        <v>45</v>
      </c>
      <c r="B45" s="122">
        <v>2.0</v>
      </c>
      <c r="C45" s="125">
        <v>2.0</v>
      </c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>
      <c r="A46" s="121" t="s">
        <v>50</v>
      </c>
      <c r="B46" s="122">
        <v>2.0</v>
      </c>
      <c r="C46" s="125">
        <v>2.0</v>
      </c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>
      <c r="A47" s="121" t="s">
        <v>65</v>
      </c>
      <c r="B47" s="122">
        <v>1.0</v>
      </c>
      <c r="C47" s="125">
        <v>2.0</v>
      </c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>
      <c r="A48" s="121" t="s">
        <v>56</v>
      </c>
      <c r="B48" s="122">
        <v>2.0</v>
      </c>
      <c r="C48" s="125">
        <v>2.0</v>
      </c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>
      <c r="A49" s="121" t="s">
        <v>46</v>
      </c>
      <c r="B49" s="122">
        <v>2.0</v>
      </c>
      <c r="C49" s="125">
        <v>2.0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>
      <c r="A50" s="121" t="s">
        <v>52</v>
      </c>
      <c r="B50" s="122">
        <v>2.0</v>
      </c>
      <c r="C50" s="125">
        <v>2.0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>
      <c r="A51" s="121" t="s">
        <v>70</v>
      </c>
      <c r="B51" s="122">
        <v>2.0</v>
      </c>
      <c r="C51" s="125">
        <v>2.0</v>
      </c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>
      <c r="A52" s="121" t="s">
        <v>57</v>
      </c>
      <c r="B52" s="122">
        <v>2.0</v>
      </c>
      <c r="C52" s="125">
        <v>2.0</v>
      </c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>
      <c r="A53" s="121" t="s">
        <v>87</v>
      </c>
      <c r="B53" s="122">
        <v>1.0</v>
      </c>
      <c r="C53" s="125">
        <v>2.0</v>
      </c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>
      <c r="A54" s="121" t="s">
        <v>61</v>
      </c>
      <c r="B54" s="122">
        <v>2.0</v>
      </c>
      <c r="C54" s="125">
        <v>2.0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>
      <c r="A55" s="121" t="s">
        <v>80</v>
      </c>
      <c r="B55" s="122">
        <v>2.0</v>
      </c>
      <c r="C55" s="125">
        <v>2.0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>
      <c r="A56" s="121" t="s">
        <v>66</v>
      </c>
      <c r="B56" s="122">
        <v>2.0</v>
      </c>
      <c r="C56" s="125">
        <v>2.0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>
      <c r="A57" s="121" t="s">
        <v>71</v>
      </c>
      <c r="B57" s="122">
        <v>2.0</v>
      </c>
      <c r="C57" s="125">
        <v>2.0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>
      <c r="A58" s="121" t="s">
        <v>74</v>
      </c>
      <c r="B58" s="122">
        <v>2.0</v>
      </c>
      <c r="C58" s="125">
        <v>2.0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>
      <c r="A59" s="121" t="s">
        <v>93</v>
      </c>
      <c r="B59" s="122">
        <v>2.0</v>
      </c>
      <c r="C59" s="125">
        <v>2.0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>
      <c r="A60" s="121" t="s">
        <v>77</v>
      </c>
      <c r="B60" s="122">
        <v>2.0</v>
      </c>
      <c r="C60" s="125">
        <v>2.0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>
      <c r="A61" s="121" t="s">
        <v>99</v>
      </c>
      <c r="B61" s="122">
        <v>2.0</v>
      </c>
      <c r="C61" s="125">
        <v>2.0</v>
      </c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>
      <c r="A62" s="121" t="s">
        <v>100</v>
      </c>
      <c r="B62" s="122">
        <v>2.0</v>
      </c>
      <c r="C62" s="125">
        <v>2.0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>
      <c r="A63" s="121" t="s">
        <v>106</v>
      </c>
      <c r="B63" s="122">
        <v>2.0</v>
      </c>
      <c r="C63" s="125">
        <v>2.0</v>
      </c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>
      <c r="A64" s="121" t="s">
        <v>81</v>
      </c>
      <c r="B64" s="122">
        <v>2.0</v>
      </c>
      <c r="C64" s="125">
        <v>2.0</v>
      </c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>
      <c r="A65" s="121" t="s">
        <v>84</v>
      </c>
      <c r="B65" s="122">
        <v>2.0</v>
      </c>
      <c r="C65" s="125">
        <v>2.0</v>
      </c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>
      <c r="A66" s="121" t="s">
        <v>88</v>
      </c>
      <c r="B66" s="122">
        <v>2.0</v>
      </c>
      <c r="C66" s="125">
        <v>2.0</v>
      </c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>
      <c r="A67" s="121" t="s">
        <v>121</v>
      </c>
      <c r="B67" s="122">
        <v>1.0</v>
      </c>
      <c r="C67" s="125">
        <v>2.0</v>
      </c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>
      <c r="A68" s="121" t="s">
        <v>123</v>
      </c>
      <c r="B68" s="122">
        <v>1.0</v>
      </c>
      <c r="C68" s="125">
        <v>2.0</v>
      </c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>
      <c r="A69" s="121" t="s">
        <v>113</v>
      </c>
      <c r="B69" s="122">
        <v>2.0</v>
      </c>
      <c r="C69" s="125">
        <v>2.0</v>
      </c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>
      <c r="A70" s="121" t="s">
        <v>91</v>
      </c>
      <c r="B70" s="122">
        <v>2.0</v>
      </c>
      <c r="C70" s="125">
        <v>2.0</v>
      </c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>
      <c r="A71" s="121" t="s">
        <v>117</v>
      </c>
      <c r="B71" s="122">
        <v>2.0</v>
      </c>
      <c r="C71" s="125">
        <v>2.0</v>
      </c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>
      <c r="A72" s="121" t="s">
        <v>119</v>
      </c>
      <c r="B72" s="122">
        <v>2.0</v>
      </c>
      <c r="C72" s="125">
        <v>2.0</v>
      </c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>
      <c r="A73" s="121" t="s">
        <v>94</v>
      </c>
      <c r="B73" s="122">
        <v>2.0</v>
      </c>
      <c r="C73" s="125">
        <v>2.0</v>
      </c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>
      <c r="A74" s="121" t="s">
        <v>97</v>
      </c>
      <c r="B74" s="122">
        <v>2.0</v>
      </c>
      <c r="C74" s="125">
        <v>2.0</v>
      </c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>
      <c r="A75" s="121" t="s">
        <v>127</v>
      </c>
      <c r="B75" s="122">
        <v>2.0</v>
      </c>
      <c r="C75" s="125">
        <v>2.0</v>
      </c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>
      <c r="A76" s="121" t="s">
        <v>129</v>
      </c>
      <c r="B76" s="122">
        <v>2.0</v>
      </c>
      <c r="C76" s="125">
        <v>2.0</v>
      </c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>
      <c r="A77" s="121" t="s">
        <v>131</v>
      </c>
      <c r="B77" s="122">
        <v>2.0</v>
      </c>
      <c r="C77" s="125">
        <v>2.0</v>
      </c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>
      <c r="A78" s="121" t="s">
        <v>133</v>
      </c>
      <c r="B78" s="122">
        <v>2.0</v>
      </c>
      <c r="C78" s="125">
        <v>2.0</v>
      </c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>
      <c r="A79" s="121" t="s">
        <v>101</v>
      </c>
      <c r="B79" s="122">
        <v>2.0</v>
      </c>
      <c r="C79" s="125">
        <v>2.0</v>
      </c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>
      <c r="A80" s="121" t="s">
        <v>104</v>
      </c>
      <c r="B80" s="122">
        <v>2.0</v>
      </c>
      <c r="C80" s="125">
        <v>2.0</v>
      </c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>
      <c r="A81" s="121" t="s">
        <v>107</v>
      </c>
      <c r="B81" s="122">
        <v>2.0</v>
      </c>
      <c r="C81" s="125">
        <v>2.0</v>
      </c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>
      <c r="A82" s="121" t="s">
        <v>25</v>
      </c>
      <c r="B82" s="122">
        <v>3.0</v>
      </c>
      <c r="C82" s="125">
        <v>3.0</v>
      </c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>
      <c r="A83" s="121" t="s">
        <v>27</v>
      </c>
      <c r="B83" s="122">
        <v>3.0</v>
      </c>
      <c r="C83" s="125">
        <v>3.0</v>
      </c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>
      <c r="A84" s="121" t="s">
        <v>32</v>
      </c>
      <c r="B84" s="122">
        <v>3.0</v>
      </c>
      <c r="C84" s="125">
        <v>3.0</v>
      </c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>
      <c r="A85" s="121" t="s">
        <v>36</v>
      </c>
      <c r="B85" s="122">
        <v>3.0</v>
      </c>
      <c r="C85" s="125">
        <v>3.0</v>
      </c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>
      <c r="A86" s="121" t="s">
        <v>45</v>
      </c>
      <c r="B86" s="122">
        <v>3.0</v>
      </c>
      <c r="C86" s="125">
        <v>3.0</v>
      </c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>
      <c r="A87" s="121" t="s">
        <v>50</v>
      </c>
      <c r="B87" s="122">
        <v>3.0</v>
      </c>
      <c r="C87" s="125">
        <v>3.0</v>
      </c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>
      <c r="A88" s="121" t="s">
        <v>56</v>
      </c>
      <c r="B88" s="122">
        <v>3.0</v>
      </c>
      <c r="C88" s="125">
        <v>3.0</v>
      </c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>
      <c r="A89" s="121" t="s">
        <v>46</v>
      </c>
      <c r="B89" s="122">
        <v>3.0</v>
      </c>
      <c r="C89" s="125">
        <v>3.0</v>
      </c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>
      <c r="A90" s="121" t="s">
        <v>52</v>
      </c>
      <c r="B90" s="122">
        <v>3.0</v>
      </c>
      <c r="C90" s="125">
        <v>3.0</v>
      </c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>
      <c r="A91" s="121" t="s">
        <v>70</v>
      </c>
      <c r="B91" s="122">
        <v>3.0</v>
      </c>
      <c r="C91" s="125">
        <v>3.0</v>
      </c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>
      <c r="A92" s="121" t="s">
        <v>57</v>
      </c>
      <c r="B92" s="122">
        <v>3.0</v>
      </c>
      <c r="C92" s="125">
        <v>3.0</v>
      </c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>
      <c r="A93" s="121" t="s">
        <v>61</v>
      </c>
      <c r="B93" s="122">
        <v>3.0</v>
      </c>
      <c r="C93" s="125">
        <v>3.0</v>
      </c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>
      <c r="A94" s="121" t="s">
        <v>80</v>
      </c>
      <c r="B94" s="122">
        <v>3.0</v>
      </c>
      <c r="C94" s="125">
        <v>3.0</v>
      </c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>
      <c r="A95" s="121" t="s">
        <v>66</v>
      </c>
      <c r="B95" s="122">
        <v>3.0</v>
      </c>
      <c r="C95" s="125">
        <v>3.0</v>
      </c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>
      <c r="A96" s="121" t="s">
        <v>71</v>
      </c>
      <c r="B96" s="122">
        <v>3.0</v>
      </c>
      <c r="C96" s="125">
        <v>3.0</v>
      </c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>
      <c r="A97" s="121" t="s">
        <v>74</v>
      </c>
      <c r="B97" s="122">
        <v>3.0</v>
      </c>
      <c r="C97" s="125">
        <v>3.0</v>
      </c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>
      <c r="A98" s="121" t="s">
        <v>77</v>
      </c>
      <c r="B98" s="122">
        <v>3.0</v>
      </c>
      <c r="C98" s="125">
        <v>3.0</v>
      </c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>
      <c r="A99" s="121" t="s">
        <v>96</v>
      </c>
      <c r="B99" s="122">
        <v>1.0</v>
      </c>
      <c r="C99" s="125">
        <v>3.0</v>
      </c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>
      <c r="A100" s="121" t="s">
        <v>100</v>
      </c>
      <c r="B100" s="122">
        <v>3.0</v>
      </c>
      <c r="C100" s="125">
        <v>3.0</v>
      </c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>
      <c r="A101" s="121" t="s">
        <v>103</v>
      </c>
      <c r="B101" s="122">
        <v>1.0</v>
      </c>
      <c r="C101" s="125">
        <v>3.0</v>
      </c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>
      <c r="A102" s="121" t="s">
        <v>106</v>
      </c>
      <c r="B102" s="122">
        <v>3.0</v>
      </c>
      <c r="C102" s="125">
        <v>3.0</v>
      </c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>
      <c r="A103" s="121" t="s">
        <v>81</v>
      </c>
      <c r="B103" s="122">
        <v>3.0</v>
      </c>
      <c r="C103" s="125">
        <v>3.0</v>
      </c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>
      <c r="A104" s="121" t="s">
        <v>110</v>
      </c>
      <c r="B104" s="122">
        <v>1.0</v>
      </c>
      <c r="C104" s="125">
        <v>3.0</v>
      </c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>
      <c r="A105" s="121" t="s">
        <v>84</v>
      </c>
      <c r="B105" s="122">
        <v>3.0</v>
      </c>
      <c r="C105" s="125">
        <v>3.0</v>
      </c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>
      <c r="A106" s="121" t="s">
        <v>114</v>
      </c>
      <c r="B106" s="122">
        <v>1.0</v>
      </c>
      <c r="C106" s="125">
        <v>3.0</v>
      </c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>
      <c r="A107" s="121" t="s">
        <v>88</v>
      </c>
      <c r="B107" s="122">
        <v>3.0</v>
      </c>
      <c r="C107" s="125">
        <v>3.0</v>
      </c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>
      <c r="A108" s="121" t="s">
        <v>113</v>
      </c>
      <c r="B108" s="122">
        <v>3.0</v>
      </c>
      <c r="C108" s="125">
        <v>3.0</v>
      </c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>
      <c r="A109" s="121" t="s">
        <v>91</v>
      </c>
      <c r="B109" s="122">
        <v>3.0</v>
      </c>
      <c r="C109" s="125">
        <v>3.0</v>
      </c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>
      <c r="A110" s="121" t="s">
        <v>117</v>
      </c>
      <c r="B110" s="122">
        <v>3.0</v>
      </c>
      <c r="C110" s="125">
        <v>3.0</v>
      </c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>
      <c r="A111" s="121" t="s">
        <v>124</v>
      </c>
      <c r="B111" s="122">
        <v>1.0</v>
      </c>
      <c r="C111" s="125">
        <v>3.0</v>
      </c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>
      <c r="A112" s="121" t="s">
        <v>119</v>
      </c>
      <c r="B112" s="122">
        <v>3.0</v>
      </c>
      <c r="C112" s="125">
        <v>3.0</v>
      </c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>
      <c r="A113" s="121" t="s">
        <v>94</v>
      </c>
      <c r="B113" s="122">
        <v>3.0</v>
      </c>
      <c r="C113" s="125">
        <v>3.0</v>
      </c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>
      <c r="A114" s="121" t="s">
        <v>97</v>
      </c>
      <c r="B114" s="122">
        <v>3.0</v>
      </c>
      <c r="C114" s="125">
        <v>3.0</v>
      </c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>
      <c r="A115" s="121" t="s">
        <v>134</v>
      </c>
      <c r="B115" s="122">
        <v>1.0</v>
      </c>
      <c r="C115" s="125">
        <v>3.0</v>
      </c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>
      <c r="A116" s="121" t="s">
        <v>127</v>
      </c>
      <c r="B116" s="122">
        <v>3.0</v>
      </c>
      <c r="C116" s="125">
        <v>3.0</v>
      </c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>
      <c r="A117" s="121" t="s">
        <v>136</v>
      </c>
      <c r="B117" s="122">
        <v>1.0</v>
      </c>
      <c r="C117" s="125">
        <v>3.0</v>
      </c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>
      <c r="A118" s="121" t="s">
        <v>133</v>
      </c>
      <c r="B118" s="122">
        <v>3.0</v>
      </c>
      <c r="C118" s="125">
        <v>3.0</v>
      </c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>
      <c r="A119" s="121" t="s">
        <v>101</v>
      </c>
      <c r="B119" s="122">
        <v>3.0</v>
      </c>
      <c r="C119" s="125">
        <v>3.0</v>
      </c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>
      <c r="A120" s="121" t="s">
        <v>104</v>
      </c>
      <c r="B120" s="122">
        <v>3.0</v>
      </c>
      <c r="C120" s="125">
        <v>3.0</v>
      </c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>
      <c r="A121" s="121" t="s">
        <v>107</v>
      </c>
      <c r="B121" s="122">
        <v>3.0</v>
      </c>
      <c r="C121" s="125">
        <v>3.0</v>
      </c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>
      <c r="A122" s="121" t="s">
        <v>27</v>
      </c>
      <c r="B122" s="122">
        <v>2.0</v>
      </c>
      <c r="C122" s="125">
        <v>4.0</v>
      </c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>
      <c r="A123" s="121" t="s">
        <v>32</v>
      </c>
      <c r="B123" s="122">
        <v>2.0</v>
      </c>
      <c r="C123" s="125">
        <v>4.0</v>
      </c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>
      <c r="A124" s="121" t="s">
        <v>36</v>
      </c>
      <c r="B124" s="122">
        <v>2.0</v>
      </c>
      <c r="C124" s="125">
        <v>4.0</v>
      </c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>
      <c r="A125" s="121" t="s">
        <v>41</v>
      </c>
      <c r="B125" s="122">
        <v>1.0</v>
      </c>
      <c r="C125" s="125">
        <v>4.0</v>
      </c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>
      <c r="A126" s="121" t="s">
        <v>46</v>
      </c>
      <c r="B126" s="122">
        <v>2.0</v>
      </c>
      <c r="C126" s="125">
        <v>4.0</v>
      </c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>
      <c r="A127" s="121" t="s">
        <v>52</v>
      </c>
      <c r="B127" s="122">
        <v>2.0</v>
      </c>
      <c r="C127" s="125">
        <v>4.0</v>
      </c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>
      <c r="A128" s="121" t="s">
        <v>57</v>
      </c>
      <c r="B128" s="122">
        <v>2.0</v>
      </c>
      <c r="C128" s="125">
        <v>4.0</v>
      </c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>
      <c r="A129" s="121" t="s">
        <v>61</v>
      </c>
      <c r="B129" s="122">
        <v>2.0</v>
      </c>
      <c r="C129" s="125">
        <v>4.0</v>
      </c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>
      <c r="A130" s="121" t="s">
        <v>66</v>
      </c>
      <c r="B130" s="122">
        <v>2.0</v>
      </c>
      <c r="C130" s="125">
        <v>4.0</v>
      </c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>
      <c r="A131" s="121" t="s">
        <v>71</v>
      </c>
      <c r="B131" s="122">
        <v>2.0</v>
      </c>
      <c r="C131" s="125">
        <v>4.0</v>
      </c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>
      <c r="A132" s="121" t="s">
        <v>74</v>
      </c>
      <c r="B132" s="122">
        <v>2.0</v>
      </c>
      <c r="C132" s="125">
        <v>4.0</v>
      </c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>
      <c r="A133" s="121" t="s">
        <v>77</v>
      </c>
      <c r="B133" s="122">
        <v>2.0</v>
      </c>
      <c r="C133" s="125">
        <v>4.0</v>
      </c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>
      <c r="A134" s="121" t="s">
        <v>81</v>
      </c>
      <c r="B134" s="122">
        <v>2.0</v>
      </c>
      <c r="C134" s="125">
        <v>4.0</v>
      </c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>
      <c r="A135" s="121" t="s">
        <v>84</v>
      </c>
      <c r="B135" s="122">
        <v>2.0</v>
      </c>
      <c r="C135" s="125">
        <v>4.0</v>
      </c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>
      <c r="A136" s="121" t="s">
        <v>88</v>
      </c>
      <c r="B136" s="122">
        <v>2.0</v>
      </c>
      <c r="C136" s="125">
        <v>4.0</v>
      </c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>
      <c r="A137" s="121" t="s">
        <v>91</v>
      </c>
      <c r="B137" s="122">
        <v>2.0</v>
      </c>
      <c r="C137" s="125">
        <v>4.0</v>
      </c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>
      <c r="A138" s="121" t="s">
        <v>94</v>
      </c>
      <c r="B138" s="122">
        <v>2.0</v>
      </c>
      <c r="C138" s="125">
        <v>4.0</v>
      </c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>
      <c r="A139" s="121" t="s">
        <v>97</v>
      </c>
      <c r="B139" s="122">
        <v>2.0</v>
      </c>
      <c r="C139" s="125">
        <v>4.0</v>
      </c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>
      <c r="A140" s="121" t="s">
        <v>101</v>
      </c>
      <c r="B140" s="122">
        <v>2.0</v>
      </c>
      <c r="C140" s="125">
        <v>4.0</v>
      </c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>
      <c r="A141" s="121" t="s">
        <v>104</v>
      </c>
      <c r="B141" s="122">
        <v>2.0</v>
      </c>
      <c r="C141" s="125">
        <v>4.0</v>
      </c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>
      <c r="A142" s="121" t="s">
        <v>107</v>
      </c>
      <c r="B142" s="122">
        <v>2.0</v>
      </c>
      <c r="C142" s="125">
        <v>4.0</v>
      </c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>
      <c r="A143" s="121" t="s">
        <v>28</v>
      </c>
      <c r="B143" s="122">
        <v>1.0</v>
      </c>
      <c r="C143" s="125">
        <v>5.0</v>
      </c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>
      <c r="A144" s="121" t="s">
        <v>29</v>
      </c>
      <c r="B144" s="122">
        <v>1.0</v>
      </c>
      <c r="C144" s="125">
        <v>5.0</v>
      </c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>
      <c r="A145" s="121" t="s">
        <v>37</v>
      </c>
      <c r="B145" s="122">
        <v>1.0</v>
      </c>
      <c r="C145" s="125">
        <v>5.0</v>
      </c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>
      <c r="A146" s="121" t="s">
        <v>33</v>
      </c>
      <c r="B146" s="122">
        <v>1.0</v>
      </c>
      <c r="C146" s="125">
        <v>5.0</v>
      </c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>
      <c r="A147" s="121" t="s">
        <v>38</v>
      </c>
      <c r="B147" s="122">
        <v>1.0</v>
      </c>
      <c r="C147" s="125">
        <v>5.0</v>
      </c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>
      <c r="A148" s="121" t="s">
        <v>42</v>
      </c>
      <c r="B148" s="122">
        <v>1.0</v>
      </c>
      <c r="C148" s="125">
        <v>5.0</v>
      </c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>
      <c r="A149" s="121" t="s">
        <v>47</v>
      </c>
      <c r="B149" s="122">
        <v>1.0</v>
      </c>
      <c r="C149" s="125">
        <v>5.0</v>
      </c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>
      <c r="A150" s="121" t="s">
        <v>53</v>
      </c>
      <c r="B150" s="122">
        <v>2.0</v>
      </c>
      <c r="C150" s="125">
        <v>5.0</v>
      </c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>
      <c r="A151" s="121" t="s">
        <v>58</v>
      </c>
      <c r="B151" s="122">
        <v>2.0</v>
      </c>
      <c r="C151" s="125">
        <v>5.0</v>
      </c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>
      <c r="A152" s="121" t="s">
        <v>62</v>
      </c>
      <c r="B152" s="122">
        <v>2.0</v>
      </c>
      <c r="C152" s="125">
        <v>5.0</v>
      </c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>
      <c r="A153" s="121" t="s">
        <v>67</v>
      </c>
      <c r="B153" s="122">
        <v>1.0</v>
      </c>
      <c r="C153" s="125">
        <v>5.0</v>
      </c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>
      <c r="A154" s="121" t="s">
        <v>72</v>
      </c>
      <c r="B154" s="122">
        <v>1.0</v>
      </c>
      <c r="C154" s="125">
        <v>5.0</v>
      </c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>
      <c r="A155" s="121" t="s">
        <v>75</v>
      </c>
      <c r="B155" s="122">
        <v>1.0</v>
      </c>
      <c r="C155" s="125">
        <v>5.0</v>
      </c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>
      <c r="A156" s="121" t="s">
        <v>78</v>
      </c>
      <c r="B156" s="122">
        <v>1.0</v>
      </c>
      <c r="C156" s="125">
        <v>5.0</v>
      </c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>
      <c r="A157" s="121" t="s">
        <v>82</v>
      </c>
      <c r="B157" s="122">
        <v>1.0</v>
      </c>
      <c r="C157" s="125">
        <v>5.0</v>
      </c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>
      <c r="A158" s="121" t="s">
        <v>85</v>
      </c>
      <c r="B158" s="122">
        <v>1.0</v>
      </c>
      <c r="C158" s="125">
        <v>5.0</v>
      </c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>
      <c r="A159" s="121" t="s">
        <v>89</v>
      </c>
      <c r="B159" s="122">
        <v>1.0</v>
      </c>
      <c r="C159" s="125">
        <v>5.0</v>
      </c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>
      <c r="A160" s="121" t="s">
        <v>92</v>
      </c>
      <c r="B160" s="122">
        <v>1.0</v>
      </c>
      <c r="C160" s="125">
        <v>5.0</v>
      </c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>
      <c r="A161" s="121" t="s">
        <v>95</v>
      </c>
      <c r="B161" s="122">
        <v>1.0</v>
      </c>
      <c r="C161" s="125">
        <v>5.0</v>
      </c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>
      <c r="A162" s="121" t="s">
        <v>98</v>
      </c>
      <c r="B162" s="122">
        <v>1.0</v>
      </c>
      <c r="C162" s="125">
        <v>5.0</v>
      </c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>
      <c r="A163" s="121" t="s">
        <v>102</v>
      </c>
      <c r="B163" s="122">
        <v>1.0</v>
      </c>
      <c r="C163" s="125">
        <v>5.0</v>
      </c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>
      <c r="A164" s="121" t="s">
        <v>105</v>
      </c>
      <c r="B164" s="122">
        <v>1.0</v>
      </c>
      <c r="C164" s="125">
        <v>5.0</v>
      </c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>
      <c r="A165" s="121" t="s">
        <v>108</v>
      </c>
      <c r="B165" s="122">
        <v>1.0</v>
      </c>
      <c r="C165" s="125">
        <v>5.0</v>
      </c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>
      <c r="A166" s="121" t="s">
        <v>109</v>
      </c>
      <c r="B166" s="122">
        <v>1.0</v>
      </c>
      <c r="C166" s="125">
        <v>5.0</v>
      </c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>
      <c r="A167" s="121" t="s">
        <v>111</v>
      </c>
      <c r="B167" s="122">
        <v>1.0</v>
      </c>
      <c r="C167" s="125">
        <v>5.0</v>
      </c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>
      <c r="A168" s="121" t="s">
        <v>112</v>
      </c>
      <c r="B168" s="122">
        <v>1.0</v>
      </c>
      <c r="C168" s="125">
        <v>5.0</v>
      </c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>
      <c r="A169" s="121" t="s">
        <v>115</v>
      </c>
      <c r="B169" s="122">
        <v>1.0</v>
      </c>
      <c r="C169" s="125">
        <v>5.0</v>
      </c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>
      <c r="A170" s="121" t="s">
        <v>116</v>
      </c>
      <c r="B170" s="122">
        <v>1.0</v>
      </c>
      <c r="C170" s="125">
        <v>5.0</v>
      </c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>
      <c r="A171" s="121" t="s">
        <v>118</v>
      </c>
      <c r="B171" s="122">
        <v>1.0</v>
      </c>
      <c r="C171" s="125">
        <v>5.0</v>
      </c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>
      <c r="A172" s="121" t="s">
        <v>125</v>
      </c>
      <c r="B172" s="122">
        <v>1.0</v>
      </c>
      <c r="C172" s="125">
        <v>5.0</v>
      </c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>
      <c r="A173" s="121" t="s">
        <v>120</v>
      </c>
      <c r="B173" s="122">
        <v>1.0</v>
      </c>
      <c r="C173" s="125">
        <v>5.0</v>
      </c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>
      <c r="A174" s="121" t="s">
        <v>122</v>
      </c>
      <c r="B174" s="122">
        <v>1.0</v>
      </c>
      <c r="C174" s="125">
        <v>5.0</v>
      </c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>
      <c r="A175" s="121" t="s">
        <v>126</v>
      </c>
      <c r="B175" s="122">
        <v>1.0</v>
      </c>
      <c r="C175" s="125">
        <v>5.0</v>
      </c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>
      <c r="A176" s="121" t="s">
        <v>128</v>
      </c>
      <c r="B176" s="122">
        <v>1.0</v>
      </c>
      <c r="C176" s="125">
        <v>5.0</v>
      </c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>
      <c r="A177" s="121" t="s">
        <v>130</v>
      </c>
      <c r="B177" s="122">
        <v>1.0</v>
      </c>
      <c r="C177" s="125">
        <v>5.0</v>
      </c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>
      <c r="A178" s="121" t="s">
        <v>132</v>
      </c>
      <c r="B178" s="122">
        <v>2.0</v>
      </c>
      <c r="C178" s="125">
        <v>5.0</v>
      </c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>
      <c r="A179" s="121" t="s">
        <v>135</v>
      </c>
      <c r="B179" s="122">
        <v>1.0</v>
      </c>
      <c r="C179" s="125">
        <v>5.0</v>
      </c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>
      <c r="A180" s="121" t="s">
        <v>28</v>
      </c>
      <c r="B180" s="122">
        <v>2.0</v>
      </c>
      <c r="C180" s="125">
        <v>6.0</v>
      </c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>
      <c r="A181" s="121" t="s">
        <v>29</v>
      </c>
      <c r="B181" s="122">
        <v>2.0</v>
      </c>
      <c r="C181" s="125">
        <v>6.0</v>
      </c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>
      <c r="A182" s="121" t="s">
        <v>37</v>
      </c>
      <c r="B182" s="122">
        <v>2.0</v>
      </c>
      <c r="C182" s="125">
        <v>6.0</v>
      </c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>
      <c r="A183" s="121" t="s">
        <v>33</v>
      </c>
      <c r="B183" s="122">
        <v>2.0</v>
      </c>
      <c r="C183" s="125">
        <v>6.0</v>
      </c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>
      <c r="A184" s="121" t="s">
        <v>38</v>
      </c>
      <c r="B184" s="122">
        <v>2.0</v>
      </c>
      <c r="C184" s="125">
        <v>6.0</v>
      </c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>
      <c r="A185" s="121" t="s">
        <v>42</v>
      </c>
      <c r="B185" s="122">
        <v>2.0</v>
      </c>
      <c r="C185" s="125">
        <v>6.0</v>
      </c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>
      <c r="A186" s="121" t="s">
        <v>47</v>
      </c>
      <c r="B186" s="122">
        <v>2.0</v>
      </c>
      <c r="C186" s="125">
        <v>6.0</v>
      </c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>
      <c r="A187" s="121" t="s">
        <v>53</v>
      </c>
      <c r="B187" s="122">
        <v>3.0</v>
      </c>
      <c r="C187" s="125">
        <v>6.0</v>
      </c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>
      <c r="A188" s="121" t="s">
        <v>58</v>
      </c>
      <c r="B188" s="122">
        <v>3.0</v>
      </c>
      <c r="C188" s="125">
        <v>6.0</v>
      </c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>
      <c r="A189" s="121" t="s">
        <v>62</v>
      </c>
      <c r="B189" s="122">
        <v>3.0</v>
      </c>
      <c r="C189" s="125">
        <v>6.0</v>
      </c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>
      <c r="A190" s="121" t="s">
        <v>67</v>
      </c>
      <c r="B190" s="122">
        <v>2.0</v>
      </c>
      <c r="C190" s="125">
        <v>6.0</v>
      </c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>
      <c r="A191" s="121" t="s">
        <v>72</v>
      </c>
      <c r="B191" s="122">
        <v>2.0</v>
      </c>
      <c r="C191" s="125">
        <v>6.0</v>
      </c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>
      <c r="A192" s="121" t="s">
        <v>75</v>
      </c>
      <c r="B192" s="122">
        <v>2.0</v>
      </c>
      <c r="C192" s="125">
        <v>6.0</v>
      </c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>
      <c r="A193" s="121" t="s">
        <v>78</v>
      </c>
      <c r="B193" s="122">
        <v>2.0</v>
      </c>
      <c r="C193" s="125">
        <v>6.0</v>
      </c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>
      <c r="A194" s="121" t="s">
        <v>82</v>
      </c>
      <c r="B194" s="122">
        <v>2.0</v>
      </c>
      <c r="C194" s="125">
        <v>6.0</v>
      </c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>
      <c r="A195" s="121" t="s">
        <v>85</v>
      </c>
      <c r="B195" s="122">
        <v>2.0</v>
      </c>
      <c r="C195" s="125">
        <v>6.0</v>
      </c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>
      <c r="A196" s="121" t="s">
        <v>89</v>
      </c>
      <c r="B196" s="122">
        <v>2.0</v>
      </c>
      <c r="C196" s="125">
        <v>6.0</v>
      </c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>
      <c r="A197" s="121" t="s">
        <v>92</v>
      </c>
      <c r="B197" s="122">
        <v>2.0</v>
      </c>
      <c r="C197" s="125">
        <v>6.0</v>
      </c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>
      <c r="A198" s="121" t="s">
        <v>95</v>
      </c>
      <c r="B198" s="122">
        <v>2.0</v>
      </c>
      <c r="C198" s="125">
        <v>6.0</v>
      </c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>
      <c r="A199" s="121" t="s">
        <v>98</v>
      </c>
      <c r="B199" s="122">
        <v>2.0</v>
      </c>
      <c r="C199" s="125">
        <v>6.0</v>
      </c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>
      <c r="A200" s="121" t="s">
        <v>102</v>
      </c>
      <c r="B200" s="122">
        <v>2.0</v>
      </c>
      <c r="C200" s="125">
        <v>6.0</v>
      </c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>
      <c r="A201" s="121" t="s">
        <v>105</v>
      </c>
      <c r="B201" s="122">
        <v>2.0</v>
      </c>
      <c r="C201" s="125">
        <v>6.0</v>
      </c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>
      <c r="A202" s="121" t="s">
        <v>108</v>
      </c>
      <c r="B202" s="122">
        <v>2.0</v>
      </c>
      <c r="C202" s="125">
        <v>6.0</v>
      </c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>
      <c r="A203" s="121" t="s">
        <v>109</v>
      </c>
      <c r="B203" s="122">
        <v>2.0</v>
      </c>
      <c r="C203" s="125">
        <v>6.0</v>
      </c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>
      <c r="A204" s="121" t="s">
        <v>111</v>
      </c>
      <c r="B204" s="122">
        <v>2.0</v>
      </c>
      <c r="C204" s="125">
        <v>6.0</v>
      </c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>
      <c r="A205" s="121" t="s">
        <v>112</v>
      </c>
      <c r="B205" s="122">
        <v>2.0</v>
      </c>
      <c r="C205" s="125">
        <v>6.0</v>
      </c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>
      <c r="A206" s="121" t="s">
        <v>115</v>
      </c>
      <c r="B206" s="122">
        <v>2.0</v>
      </c>
      <c r="C206" s="125">
        <v>6.0</v>
      </c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>
      <c r="A207" s="121" t="s">
        <v>116</v>
      </c>
      <c r="B207" s="122">
        <v>2.0</v>
      </c>
      <c r="C207" s="125">
        <v>6.0</v>
      </c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>
      <c r="A208" s="121" t="s">
        <v>118</v>
      </c>
      <c r="B208" s="122">
        <v>2.0</v>
      </c>
      <c r="C208" s="125">
        <v>6.0</v>
      </c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>
      <c r="A209" s="121" t="s">
        <v>125</v>
      </c>
      <c r="B209" s="122">
        <v>2.0</v>
      </c>
      <c r="C209" s="125">
        <v>6.0</v>
      </c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>
      <c r="A210" s="121" t="s">
        <v>120</v>
      </c>
      <c r="B210" s="122">
        <v>2.0</v>
      </c>
      <c r="C210" s="125">
        <v>6.0</v>
      </c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>
      <c r="A211" s="121" t="s">
        <v>122</v>
      </c>
      <c r="B211" s="122">
        <v>2.0</v>
      </c>
      <c r="C211" s="125">
        <v>6.0</v>
      </c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>
      <c r="A212" s="121" t="s">
        <v>126</v>
      </c>
      <c r="B212" s="122">
        <v>2.0</v>
      </c>
      <c r="C212" s="125">
        <v>6.0</v>
      </c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>
      <c r="A213" s="121" t="s">
        <v>128</v>
      </c>
      <c r="B213" s="122">
        <v>2.0</v>
      </c>
      <c r="C213" s="125">
        <v>6.0</v>
      </c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>
      <c r="A214" s="121" t="s">
        <v>130</v>
      </c>
      <c r="B214" s="122">
        <v>2.0</v>
      </c>
      <c r="C214" s="125">
        <v>6.0</v>
      </c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>
      <c r="A215" s="121" t="s">
        <v>132</v>
      </c>
      <c r="B215" s="122">
        <v>3.0</v>
      </c>
      <c r="C215" s="125">
        <v>6.0</v>
      </c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>
      <c r="A216" s="121" t="s">
        <v>135</v>
      </c>
      <c r="B216" s="122">
        <v>2.0</v>
      </c>
      <c r="C216" s="125">
        <v>6.0</v>
      </c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>
      <c r="A217" s="121" t="s">
        <v>29</v>
      </c>
      <c r="B217" s="122">
        <v>3.0</v>
      </c>
      <c r="C217" s="125">
        <v>7.0</v>
      </c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>
      <c r="A218" s="121" t="s">
        <v>33</v>
      </c>
      <c r="B218" s="122">
        <v>3.0</v>
      </c>
      <c r="C218" s="125">
        <v>7.0</v>
      </c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>
      <c r="A219" s="121" t="s">
        <v>38</v>
      </c>
      <c r="B219" s="122">
        <v>3.0</v>
      </c>
      <c r="C219" s="125">
        <v>7.0</v>
      </c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>
      <c r="A220" s="121" t="s">
        <v>42</v>
      </c>
      <c r="B220" s="122">
        <v>3.0</v>
      </c>
      <c r="C220" s="125">
        <v>7.0</v>
      </c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>
      <c r="A221" s="121" t="s">
        <v>47</v>
      </c>
      <c r="B221" s="122">
        <v>3.0</v>
      </c>
      <c r="C221" s="125">
        <v>7.0</v>
      </c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>
      <c r="A222" s="121" t="s">
        <v>53</v>
      </c>
      <c r="B222" s="122">
        <v>4.0</v>
      </c>
      <c r="C222" s="125">
        <v>7.0</v>
      </c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>
      <c r="A223" s="121" t="s">
        <v>58</v>
      </c>
      <c r="B223" s="122">
        <v>4.0</v>
      </c>
      <c r="C223" s="125">
        <v>7.0</v>
      </c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>
      <c r="A224" s="121" t="s">
        <v>62</v>
      </c>
      <c r="B224" s="122">
        <v>4.0</v>
      </c>
      <c r="C224" s="125">
        <v>7.0</v>
      </c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>
      <c r="A225" s="121" t="s">
        <v>67</v>
      </c>
      <c r="B225" s="122">
        <v>3.0</v>
      </c>
      <c r="C225" s="125">
        <v>7.0</v>
      </c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>
      <c r="A226" s="121" t="s">
        <v>72</v>
      </c>
      <c r="B226" s="122">
        <v>3.0</v>
      </c>
      <c r="C226" s="125">
        <v>7.0</v>
      </c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>
      <c r="A227" s="121" t="s">
        <v>75</v>
      </c>
      <c r="B227" s="122">
        <v>3.0</v>
      </c>
      <c r="C227" s="125">
        <v>7.0</v>
      </c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>
      <c r="A228" s="121" t="s">
        <v>78</v>
      </c>
      <c r="B228" s="122">
        <v>3.0</v>
      </c>
      <c r="C228" s="125">
        <v>7.0</v>
      </c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>
      <c r="A229" s="121" t="s">
        <v>82</v>
      </c>
      <c r="B229" s="122">
        <v>3.0</v>
      </c>
      <c r="C229" s="125">
        <v>7.0</v>
      </c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>
      <c r="A230" s="121" t="s">
        <v>85</v>
      </c>
      <c r="B230" s="122">
        <v>3.0</v>
      </c>
      <c r="C230" s="125">
        <v>7.0</v>
      </c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>
      <c r="A231" s="121" t="s">
        <v>89</v>
      </c>
      <c r="B231" s="122">
        <v>3.0</v>
      </c>
      <c r="C231" s="125">
        <v>7.0</v>
      </c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>
      <c r="A232" s="121" t="s">
        <v>92</v>
      </c>
      <c r="B232" s="122">
        <v>3.0</v>
      </c>
      <c r="C232" s="125">
        <v>7.0</v>
      </c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>
      <c r="A233" s="121" t="s">
        <v>95</v>
      </c>
      <c r="B233" s="122">
        <v>3.0</v>
      </c>
      <c r="C233" s="125">
        <v>7.0</v>
      </c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>
      <c r="A234" s="121" t="s">
        <v>98</v>
      </c>
      <c r="B234" s="122">
        <v>3.0</v>
      </c>
      <c r="C234" s="125">
        <v>7.0</v>
      </c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>
      <c r="A235" s="121" t="s">
        <v>102</v>
      </c>
      <c r="B235" s="122">
        <v>3.0</v>
      </c>
      <c r="C235" s="125">
        <v>7.0</v>
      </c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>
      <c r="A236" s="121" t="s">
        <v>105</v>
      </c>
      <c r="B236" s="122">
        <v>3.0</v>
      </c>
      <c r="C236" s="125">
        <v>7.0</v>
      </c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>
      <c r="A237" s="121" t="s">
        <v>108</v>
      </c>
      <c r="B237" s="122">
        <v>3.0</v>
      </c>
      <c r="C237" s="125">
        <v>7.0</v>
      </c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>
      <c r="A238" s="121" t="s">
        <v>109</v>
      </c>
      <c r="B238" s="122">
        <v>3.0</v>
      </c>
      <c r="C238" s="125">
        <v>7.0</v>
      </c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>
      <c r="A239" s="121" t="s">
        <v>111</v>
      </c>
      <c r="B239" s="122">
        <v>3.0</v>
      </c>
      <c r="C239" s="125">
        <v>7.0</v>
      </c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>
      <c r="A240" s="121" t="s">
        <v>112</v>
      </c>
      <c r="B240" s="122">
        <v>3.0</v>
      </c>
      <c r="C240" s="125">
        <v>7.0</v>
      </c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>
      <c r="A241" s="121" t="s">
        <v>115</v>
      </c>
      <c r="B241" s="122">
        <v>3.0</v>
      </c>
      <c r="C241" s="125">
        <v>7.0</v>
      </c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>
      <c r="A242" s="121" t="s">
        <v>116</v>
      </c>
      <c r="B242" s="122">
        <v>3.0</v>
      </c>
      <c r="C242" s="125">
        <v>7.0</v>
      </c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>
      <c r="A243" s="121" t="s">
        <v>118</v>
      </c>
      <c r="B243" s="122">
        <v>3.0</v>
      </c>
      <c r="C243" s="125">
        <v>7.0</v>
      </c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>
      <c r="A244" s="121" t="s">
        <v>120</v>
      </c>
      <c r="B244" s="122">
        <v>3.0</v>
      </c>
      <c r="C244" s="125">
        <v>7.0</v>
      </c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>
      <c r="A245" s="121" t="s">
        <v>122</v>
      </c>
      <c r="B245" s="122">
        <v>3.0</v>
      </c>
      <c r="C245" s="125">
        <v>7.0</v>
      </c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>
      <c r="A246" s="121" t="s">
        <v>126</v>
      </c>
      <c r="B246" s="122">
        <v>3.0</v>
      </c>
      <c r="C246" s="125">
        <v>7.0</v>
      </c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>
      <c r="A247" s="121" t="s">
        <v>128</v>
      </c>
      <c r="B247" s="122">
        <v>3.0</v>
      </c>
      <c r="C247" s="125">
        <v>7.0</v>
      </c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>
      <c r="A248" s="121" t="s">
        <v>130</v>
      </c>
      <c r="B248" s="122">
        <v>3.0</v>
      </c>
      <c r="C248" s="125">
        <v>7.0</v>
      </c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>
      <c r="A249" s="121" t="s">
        <v>132</v>
      </c>
      <c r="B249" s="122">
        <v>4.0</v>
      </c>
      <c r="C249" s="125">
        <v>7.0</v>
      </c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>
      <c r="A250" s="121" t="s">
        <v>135</v>
      </c>
      <c r="B250" s="122">
        <v>3.0</v>
      </c>
      <c r="C250" s="125">
        <v>7.0</v>
      </c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>
      <c r="A251" s="121" t="s">
        <v>30</v>
      </c>
      <c r="B251" s="122">
        <v>1.0</v>
      </c>
      <c r="C251" s="125">
        <v>8.0</v>
      </c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>
      <c r="A252" s="121" t="s">
        <v>34</v>
      </c>
      <c r="B252" s="122">
        <v>1.0</v>
      </c>
      <c r="C252" s="125">
        <v>8.0</v>
      </c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>
      <c r="A253" s="121" t="s">
        <v>39</v>
      </c>
      <c r="B253" s="122">
        <v>1.0</v>
      </c>
      <c r="C253" s="125">
        <v>8.0</v>
      </c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>
      <c r="A254" s="121" t="s">
        <v>43</v>
      </c>
      <c r="B254" s="122">
        <v>1.0</v>
      </c>
      <c r="C254" s="125">
        <v>8.0</v>
      </c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>
      <c r="A255" s="121" t="s">
        <v>48</v>
      </c>
      <c r="B255" s="122">
        <v>1.0</v>
      </c>
      <c r="C255" s="125">
        <v>8.0</v>
      </c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>
      <c r="A256" s="121" t="s">
        <v>54</v>
      </c>
      <c r="B256" s="122">
        <v>1.0</v>
      </c>
      <c r="C256" s="125">
        <v>8.0</v>
      </c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>
      <c r="A257" s="121" t="s">
        <v>59</v>
      </c>
      <c r="B257" s="122">
        <v>2.0</v>
      </c>
      <c r="C257" s="125">
        <v>8.0</v>
      </c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>
      <c r="A258" s="121" t="s">
        <v>63</v>
      </c>
      <c r="B258" s="122">
        <v>2.0</v>
      </c>
      <c r="C258" s="125">
        <v>8.0</v>
      </c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>
      <c r="A259" s="121" t="s">
        <v>68</v>
      </c>
      <c r="B259" s="122">
        <v>1.0</v>
      </c>
      <c r="C259" s="125">
        <v>8.0</v>
      </c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>
      <c r="A260" s="121" t="s">
        <v>73</v>
      </c>
      <c r="B260" s="122">
        <v>1.0</v>
      </c>
      <c r="C260" s="125">
        <v>8.0</v>
      </c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>
      <c r="A261" s="121" t="s">
        <v>76</v>
      </c>
      <c r="B261" s="122">
        <v>1.0</v>
      </c>
      <c r="C261" s="125">
        <v>8.0</v>
      </c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>
      <c r="A262" s="121" t="s">
        <v>79</v>
      </c>
      <c r="B262" s="122">
        <v>1.0</v>
      </c>
      <c r="C262" s="125">
        <v>8.0</v>
      </c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>
      <c r="A263" s="121" t="s">
        <v>83</v>
      </c>
      <c r="B263" s="122">
        <v>1.0</v>
      </c>
      <c r="C263" s="125">
        <v>8.0</v>
      </c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>
      <c r="A264" s="121" t="s">
        <v>86</v>
      </c>
      <c r="B264" s="122">
        <v>1.0</v>
      </c>
      <c r="C264" s="125">
        <v>8.0</v>
      </c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>
      <c r="A265" s="121" t="s">
        <v>90</v>
      </c>
      <c r="B265" s="122">
        <v>2.0</v>
      </c>
      <c r="C265" s="125">
        <v>8.0</v>
      </c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>
      <c r="A266" s="121" t="s">
        <v>30</v>
      </c>
      <c r="B266" s="122">
        <v>2.0</v>
      </c>
      <c r="C266" s="125">
        <v>9.0</v>
      </c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>
      <c r="A267" s="121" t="s">
        <v>34</v>
      </c>
      <c r="B267" s="122">
        <v>2.0</v>
      </c>
      <c r="C267" s="125">
        <v>9.0</v>
      </c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>
      <c r="A268" s="121" t="s">
        <v>39</v>
      </c>
      <c r="B268" s="122">
        <v>2.0</v>
      </c>
      <c r="C268" s="125">
        <v>9.0</v>
      </c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>
      <c r="A269" s="121" t="s">
        <v>43</v>
      </c>
      <c r="B269" s="122">
        <v>2.0</v>
      </c>
      <c r="C269" s="125">
        <v>9.0</v>
      </c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>
      <c r="A270" s="121" t="s">
        <v>48</v>
      </c>
      <c r="B270" s="122">
        <v>2.0</v>
      </c>
      <c r="C270" s="125">
        <v>9.0</v>
      </c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>
      <c r="A271" s="121" t="s">
        <v>54</v>
      </c>
      <c r="B271" s="122">
        <v>2.0</v>
      </c>
      <c r="C271" s="125">
        <v>9.0</v>
      </c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>
      <c r="A272" s="121" t="s">
        <v>59</v>
      </c>
      <c r="B272" s="122">
        <v>3.0</v>
      </c>
      <c r="C272" s="125">
        <v>9.0</v>
      </c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>
      <c r="A273" s="121" t="s">
        <v>63</v>
      </c>
      <c r="B273" s="122">
        <v>3.0</v>
      </c>
      <c r="C273" s="125">
        <v>9.0</v>
      </c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>
      <c r="A274" s="121" t="s">
        <v>68</v>
      </c>
      <c r="B274" s="122">
        <v>2.0</v>
      </c>
      <c r="C274" s="125">
        <v>9.0</v>
      </c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>
      <c r="A275" s="121" t="s">
        <v>73</v>
      </c>
      <c r="B275" s="122">
        <v>2.0</v>
      </c>
      <c r="C275" s="125">
        <v>9.0</v>
      </c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>
      <c r="A276" s="121" t="s">
        <v>76</v>
      </c>
      <c r="B276" s="122">
        <v>2.0</v>
      </c>
      <c r="C276" s="125">
        <v>9.0</v>
      </c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>
      <c r="A277" s="121" t="s">
        <v>79</v>
      </c>
      <c r="B277" s="122">
        <v>2.0</v>
      </c>
      <c r="C277" s="125">
        <v>9.0</v>
      </c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>
      <c r="A278" s="121" t="s">
        <v>83</v>
      </c>
      <c r="B278" s="122">
        <v>2.0</v>
      </c>
      <c r="C278" s="125">
        <v>9.0</v>
      </c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>
      <c r="A279" s="121" t="s">
        <v>86</v>
      </c>
      <c r="B279" s="122">
        <v>2.0</v>
      </c>
      <c r="C279" s="125">
        <v>9.0</v>
      </c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>
      <c r="A280" s="121" t="s">
        <v>90</v>
      </c>
      <c r="B280" s="122">
        <v>3.0</v>
      </c>
      <c r="C280" s="125">
        <v>9.0</v>
      </c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>
      <c r="A281" s="121" t="s">
        <v>31</v>
      </c>
      <c r="B281" s="122">
        <v>1.0</v>
      </c>
      <c r="C281" s="125">
        <v>10.0</v>
      </c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>
      <c r="A282" s="121" t="s">
        <v>35</v>
      </c>
      <c r="B282" s="122">
        <v>1.0</v>
      </c>
      <c r="C282" s="125">
        <v>10.0</v>
      </c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>
      <c r="A283" s="121" t="s">
        <v>40</v>
      </c>
      <c r="B283" s="122">
        <v>1.0</v>
      </c>
      <c r="C283" s="125">
        <v>10.0</v>
      </c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>
      <c r="A284" s="121" t="s">
        <v>44</v>
      </c>
      <c r="B284" s="122">
        <v>1.0</v>
      </c>
      <c r="C284" s="125">
        <v>10.0</v>
      </c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>
      <c r="A285" s="121" t="s">
        <v>49</v>
      </c>
      <c r="B285" s="122">
        <v>1.0</v>
      </c>
      <c r="C285" s="125">
        <v>10.0</v>
      </c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>
      <c r="A286" s="121" t="s">
        <v>55</v>
      </c>
      <c r="B286" s="122">
        <v>1.0</v>
      </c>
      <c r="C286" s="125">
        <v>10.0</v>
      </c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>
      <c r="A287" s="121" t="s">
        <v>60</v>
      </c>
      <c r="B287" s="122">
        <v>1.0</v>
      </c>
      <c r="C287" s="125">
        <v>10.0</v>
      </c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>
      <c r="A288" s="121" t="s">
        <v>64</v>
      </c>
      <c r="B288" s="122">
        <v>1.0</v>
      </c>
      <c r="C288" s="125">
        <v>10.0</v>
      </c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>
      <c r="A289" s="121" t="s">
        <v>69</v>
      </c>
      <c r="B289" s="122">
        <v>1.0</v>
      </c>
      <c r="C289" s="125">
        <v>10.0</v>
      </c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>
      <c r="A290" s="120"/>
      <c r="B290" s="120"/>
      <c r="C290" s="126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>
      <c r="A291" s="120"/>
      <c r="B291" s="120"/>
      <c r="C291" s="126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>
      <c r="A292" s="120"/>
      <c r="B292" s="120"/>
      <c r="C292" s="126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>
      <c r="A293" s="120"/>
      <c r="B293" s="120"/>
      <c r="C293" s="126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>
      <c r="A294" s="120"/>
      <c r="B294" s="120"/>
      <c r="C294" s="126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>
      <c r="A295" s="120"/>
      <c r="B295" s="120"/>
      <c r="C295" s="126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>
      <c r="A296" s="120"/>
      <c r="B296" s="120"/>
      <c r="C296" s="126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>
      <c r="A297" s="120"/>
      <c r="B297" s="120"/>
      <c r="C297" s="126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>
      <c r="A298" s="120"/>
      <c r="B298" s="120"/>
      <c r="C298" s="126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>
      <c r="A299" s="120"/>
      <c r="B299" s="120"/>
      <c r="C299" s="126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>
      <c r="A300" s="120"/>
      <c r="B300" s="120"/>
      <c r="C300" s="126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>
      <c r="A301" s="120"/>
      <c r="B301" s="120"/>
      <c r="C301" s="126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>
      <c r="A302" s="120"/>
      <c r="B302" s="120"/>
      <c r="C302" s="126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>
      <c r="A303" s="120"/>
      <c r="B303" s="120"/>
      <c r="C303" s="126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>
      <c r="A304" s="120"/>
      <c r="B304" s="120"/>
      <c r="C304" s="126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>
      <c r="A305" s="120"/>
      <c r="B305" s="120"/>
      <c r="C305" s="126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>
      <c r="A306" s="120"/>
      <c r="B306" s="120"/>
      <c r="C306" s="126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>
      <c r="A307" s="120"/>
      <c r="B307" s="120"/>
      <c r="C307" s="126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>
      <c r="A308" s="120"/>
      <c r="B308" s="120"/>
      <c r="C308" s="126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>
      <c r="A309" s="120"/>
      <c r="B309" s="120"/>
      <c r="C309" s="126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>
      <c r="A310" s="120"/>
      <c r="B310" s="120"/>
      <c r="C310" s="126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>
      <c r="A311" s="120"/>
      <c r="B311" s="120"/>
      <c r="C311" s="126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>
      <c r="A312" s="120"/>
      <c r="B312" s="120"/>
      <c r="C312" s="126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>
      <c r="A313" s="120"/>
      <c r="B313" s="120"/>
      <c r="C313" s="126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>
      <c r="A314" s="120"/>
      <c r="B314" s="120"/>
      <c r="C314" s="126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>
      <c r="A315" s="120"/>
      <c r="B315" s="120"/>
      <c r="C315" s="126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>
      <c r="A316" s="120"/>
      <c r="B316" s="120"/>
      <c r="C316" s="126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>
      <c r="A317" s="120"/>
      <c r="B317" s="120"/>
      <c r="C317" s="126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>
      <c r="A318" s="120"/>
      <c r="B318" s="120"/>
      <c r="C318" s="126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>
      <c r="A319" s="120"/>
      <c r="B319" s="120"/>
      <c r="C319" s="126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>
      <c r="A320" s="120"/>
      <c r="B320" s="120"/>
      <c r="C320" s="126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>
      <c r="A321" s="120"/>
      <c r="B321" s="120"/>
      <c r="C321" s="126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>
      <c r="A322" s="120"/>
      <c r="B322" s="120"/>
      <c r="C322" s="126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>
      <c r="A323" s="120"/>
      <c r="B323" s="120"/>
      <c r="C323" s="126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>
      <c r="A324" s="120"/>
      <c r="B324" s="120"/>
      <c r="C324" s="126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>
      <c r="A325" s="120"/>
      <c r="B325" s="120"/>
      <c r="C325" s="126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>
      <c r="A326" s="120"/>
      <c r="B326" s="120"/>
      <c r="C326" s="126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>
      <c r="A327" s="120"/>
      <c r="B327" s="120"/>
      <c r="C327" s="126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>
      <c r="A328" s="120"/>
      <c r="B328" s="120"/>
      <c r="C328" s="126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>
      <c r="A329" s="120"/>
      <c r="B329" s="120"/>
      <c r="C329" s="126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>
      <c r="A330" s="120"/>
      <c r="B330" s="120"/>
      <c r="C330" s="126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>
      <c r="A331" s="120"/>
      <c r="B331" s="120"/>
      <c r="C331" s="126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>
      <c r="A332" s="120"/>
      <c r="B332" s="120"/>
      <c r="C332" s="126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>
      <c r="A333" s="120"/>
      <c r="B333" s="120"/>
      <c r="C333" s="126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>
      <c r="A334" s="120"/>
      <c r="B334" s="120"/>
      <c r="C334" s="126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>
      <c r="A335" s="120"/>
      <c r="B335" s="120"/>
      <c r="C335" s="126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>
      <c r="A336" s="120"/>
      <c r="B336" s="120"/>
      <c r="C336" s="126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>
      <c r="A337" s="120"/>
      <c r="B337" s="120"/>
      <c r="C337" s="126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>
      <c r="A338" s="120"/>
      <c r="B338" s="120"/>
      <c r="C338" s="126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>
      <c r="A339" s="120"/>
      <c r="B339" s="120"/>
      <c r="C339" s="126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>
      <c r="A340" s="120"/>
      <c r="B340" s="120"/>
      <c r="C340" s="126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>
      <c r="A341" s="120"/>
      <c r="B341" s="120"/>
      <c r="C341" s="126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>
      <c r="A342" s="120"/>
      <c r="B342" s="120"/>
      <c r="C342" s="126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>
      <c r="A343" s="120"/>
      <c r="B343" s="120"/>
      <c r="C343" s="126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>
      <c r="A344" s="120"/>
      <c r="B344" s="120"/>
      <c r="C344" s="126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>
      <c r="A345" s="120"/>
      <c r="B345" s="120"/>
      <c r="C345" s="126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>
      <c r="A346" s="120"/>
      <c r="B346" s="120"/>
      <c r="C346" s="126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>
      <c r="A347" s="120"/>
      <c r="B347" s="120"/>
      <c r="C347" s="126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>
      <c r="A348" s="120"/>
      <c r="B348" s="120"/>
      <c r="C348" s="126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>
      <c r="A349" s="120"/>
      <c r="B349" s="120"/>
      <c r="C349" s="126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>
      <c r="A350" s="120"/>
      <c r="B350" s="120"/>
      <c r="C350" s="126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>
      <c r="A351" s="120"/>
      <c r="B351" s="120"/>
      <c r="C351" s="126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>
      <c r="A352" s="120"/>
      <c r="B352" s="120"/>
      <c r="C352" s="126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>
      <c r="A353" s="120"/>
      <c r="B353" s="120"/>
      <c r="C353" s="126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>
      <c r="A354" s="120"/>
      <c r="B354" s="120"/>
      <c r="C354" s="126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>
      <c r="A355" s="120"/>
      <c r="B355" s="120"/>
      <c r="C355" s="126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>
      <c r="A356" s="120"/>
      <c r="B356" s="120"/>
      <c r="C356" s="126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>
      <c r="A357" s="120"/>
      <c r="B357" s="120"/>
      <c r="C357" s="126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>
      <c r="A358" s="120"/>
      <c r="B358" s="120"/>
      <c r="C358" s="126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>
      <c r="A359" s="120"/>
      <c r="B359" s="120"/>
      <c r="C359" s="126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>
      <c r="A360" s="120"/>
      <c r="B360" s="120"/>
      <c r="C360" s="126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>
      <c r="A361" s="120"/>
      <c r="B361" s="120"/>
      <c r="C361" s="126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>
      <c r="A362" s="120"/>
      <c r="B362" s="120"/>
      <c r="C362" s="126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>
      <c r="A363" s="120"/>
      <c r="B363" s="120"/>
      <c r="C363" s="126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>
      <c r="A364" s="120"/>
      <c r="B364" s="120"/>
      <c r="C364" s="126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>
      <c r="A365" s="120"/>
      <c r="B365" s="120"/>
      <c r="C365" s="126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>
      <c r="A366" s="120"/>
      <c r="B366" s="120"/>
      <c r="C366" s="126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>
      <c r="A367" s="120"/>
      <c r="B367" s="120"/>
      <c r="C367" s="126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>
      <c r="A368" s="120"/>
      <c r="B368" s="120"/>
      <c r="C368" s="126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>
      <c r="A369" s="120"/>
      <c r="B369" s="120"/>
      <c r="C369" s="126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>
      <c r="A370" s="120"/>
      <c r="B370" s="120"/>
      <c r="C370" s="126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>
      <c r="A371" s="120"/>
      <c r="B371" s="120"/>
      <c r="C371" s="126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>
      <c r="A372" s="120"/>
      <c r="B372" s="120"/>
      <c r="C372" s="126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>
      <c r="A373" s="120"/>
      <c r="B373" s="120"/>
      <c r="C373" s="126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>
      <c r="A374" s="120"/>
      <c r="B374" s="120"/>
      <c r="C374" s="126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>
      <c r="A375" s="120"/>
      <c r="B375" s="120"/>
      <c r="C375" s="126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>
      <c r="A376" s="120"/>
      <c r="B376" s="120"/>
      <c r="C376" s="126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>
      <c r="A377" s="120"/>
      <c r="B377" s="120"/>
      <c r="C377" s="126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>
      <c r="A378" s="120"/>
      <c r="B378" s="120"/>
      <c r="C378" s="126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>
      <c r="A379" s="120"/>
      <c r="B379" s="120"/>
      <c r="C379" s="126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>
      <c r="A380" s="120"/>
      <c r="B380" s="120"/>
      <c r="C380" s="126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>
      <c r="A381" s="120"/>
      <c r="B381" s="120"/>
      <c r="C381" s="126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>
      <c r="A382" s="120"/>
      <c r="B382" s="120"/>
      <c r="C382" s="126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>
      <c r="A383" s="120"/>
      <c r="B383" s="120"/>
      <c r="C383" s="126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>
      <c r="A384" s="120"/>
      <c r="B384" s="120"/>
      <c r="C384" s="126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>
      <c r="A385" s="120"/>
      <c r="B385" s="120"/>
      <c r="C385" s="126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>
      <c r="A386" s="120"/>
      <c r="B386" s="120"/>
      <c r="C386" s="126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>
      <c r="A387" s="120"/>
      <c r="B387" s="120"/>
      <c r="C387" s="126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>
      <c r="A388" s="120"/>
      <c r="B388" s="120"/>
      <c r="C388" s="126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>
      <c r="A389" s="120"/>
      <c r="B389" s="120"/>
      <c r="C389" s="126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>
      <c r="A390" s="120"/>
      <c r="B390" s="120"/>
      <c r="C390" s="126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>
      <c r="A391" s="120"/>
      <c r="B391" s="120"/>
      <c r="C391" s="126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>
      <c r="A392" s="120"/>
      <c r="B392" s="120"/>
      <c r="C392" s="126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>
      <c r="A393" s="120"/>
      <c r="B393" s="120"/>
      <c r="C393" s="126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>
      <c r="A394" s="120"/>
      <c r="B394" s="120"/>
      <c r="C394" s="126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>
      <c r="A395" s="120"/>
      <c r="B395" s="120"/>
      <c r="C395" s="126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>
      <c r="A396" s="120"/>
      <c r="B396" s="120"/>
      <c r="C396" s="126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>
      <c r="A397" s="120"/>
      <c r="B397" s="120"/>
      <c r="C397" s="126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>
      <c r="A398" s="120"/>
      <c r="B398" s="120"/>
      <c r="C398" s="126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>
      <c r="A399" s="120"/>
      <c r="B399" s="120"/>
      <c r="C399" s="126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>
      <c r="A400" s="120"/>
      <c r="B400" s="120"/>
      <c r="C400" s="126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>
      <c r="A401" s="120"/>
      <c r="B401" s="120"/>
      <c r="C401" s="126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>
      <c r="A402" s="120"/>
      <c r="B402" s="120"/>
      <c r="C402" s="126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>
      <c r="A403" s="120"/>
      <c r="B403" s="120"/>
      <c r="C403" s="126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>
      <c r="A404" s="120"/>
      <c r="B404" s="120"/>
      <c r="C404" s="126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>
      <c r="A405" s="120"/>
      <c r="B405" s="120"/>
      <c r="C405" s="126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>
      <c r="A406" s="120"/>
      <c r="B406" s="120"/>
      <c r="C406" s="126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>
      <c r="A407" s="120"/>
      <c r="B407" s="120"/>
      <c r="C407" s="126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>
      <c r="A408" s="120"/>
      <c r="B408" s="120"/>
      <c r="C408" s="126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>
      <c r="A409" s="120"/>
      <c r="B409" s="120"/>
      <c r="C409" s="126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>
      <c r="A410" s="120"/>
      <c r="B410" s="120"/>
      <c r="C410" s="126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>
      <c r="A411" s="120"/>
      <c r="B411" s="120"/>
      <c r="C411" s="126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>
      <c r="A412" s="120"/>
      <c r="B412" s="120"/>
      <c r="C412" s="126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>
      <c r="A413" s="120"/>
      <c r="B413" s="120"/>
      <c r="C413" s="126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>
      <c r="A414" s="120"/>
      <c r="B414" s="120"/>
      <c r="C414" s="126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>
      <c r="A415" s="120"/>
      <c r="B415" s="120"/>
      <c r="C415" s="126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>
      <c r="A416" s="120"/>
      <c r="B416" s="120"/>
      <c r="C416" s="126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>
      <c r="A417" s="120"/>
      <c r="B417" s="120"/>
      <c r="C417" s="126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>
      <c r="A418" s="120"/>
      <c r="B418" s="120"/>
      <c r="C418" s="126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>
      <c r="A419" s="120"/>
      <c r="B419" s="120"/>
      <c r="C419" s="126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>
      <c r="A420" s="120"/>
      <c r="B420" s="120"/>
      <c r="C420" s="126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>
      <c r="A421" s="120"/>
      <c r="B421" s="120"/>
      <c r="C421" s="126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>
      <c r="A422" s="120"/>
      <c r="B422" s="120"/>
      <c r="C422" s="126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>
      <c r="A423" s="120"/>
      <c r="B423" s="120"/>
      <c r="C423" s="126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>
      <c r="A424" s="120"/>
      <c r="B424" s="120"/>
      <c r="C424" s="126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>
      <c r="A425" s="120"/>
      <c r="B425" s="120"/>
      <c r="C425" s="126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>
      <c r="A426" s="120"/>
      <c r="B426" s="120"/>
      <c r="C426" s="126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>
      <c r="A427" s="120"/>
      <c r="B427" s="120"/>
      <c r="C427" s="126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>
      <c r="A428" s="120"/>
      <c r="B428" s="120"/>
      <c r="C428" s="126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>
      <c r="A429" s="120"/>
      <c r="B429" s="120"/>
      <c r="C429" s="126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>
      <c r="A430" s="120"/>
      <c r="B430" s="120"/>
      <c r="C430" s="126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>
      <c r="A431" s="120"/>
      <c r="B431" s="120"/>
      <c r="C431" s="126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>
      <c r="A432" s="120"/>
      <c r="B432" s="120"/>
      <c r="C432" s="126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>
      <c r="A433" s="120"/>
      <c r="B433" s="120"/>
      <c r="C433" s="126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>
      <c r="A434" s="120"/>
      <c r="B434" s="120"/>
      <c r="C434" s="126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>
      <c r="A435" s="120"/>
      <c r="B435" s="120"/>
      <c r="C435" s="126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>
      <c r="A436" s="120"/>
      <c r="B436" s="120"/>
      <c r="C436" s="126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>
      <c r="A437" s="120"/>
      <c r="B437" s="120"/>
      <c r="C437" s="126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>
      <c r="A438" s="120"/>
      <c r="B438" s="120"/>
      <c r="C438" s="126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>
      <c r="A439" s="120"/>
      <c r="B439" s="120"/>
      <c r="C439" s="126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>
      <c r="A440" s="120"/>
      <c r="B440" s="120"/>
      <c r="C440" s="126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>
      <c r="A441" s="120"/>
      <c r="B441" s="120"/>
      <c r="C441" s="126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>
      <c r="A442" s="120"/>
      <c r="B442" s="120"/>
      <c r="C442" s="126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>
      <c r="A443" s="120"/>
      <c r="B443" s="120"/>
      <c r="C443" s="126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>
      <c r="A444" s="120"/>
      <c r="B444" s="120"/>
      <c r="C444" s="126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>
      <c r="A445" s="120"/>
      <c r="B445" s="120"/>
      <c r="C445" s="126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>
      <c r="A446" s="120"/>
      <c r="B446" s="120"/>
      <c r="C446" s="126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>
      <c r="A447" s="120"/>
      <c r="B447" s="120"/>
      <c r="C447" s="126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>
      <c r="A448" s="120"/>
      <c r="B448" s="120"/>
      <c r="C448" s="126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>
      <c r="A449" s="120"/>
      <c r="B449" s="120"/>
      <c r="C449" s="126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>
      <c r="A450" s="120"/>
      <c r="B450" s="120"/>
      <c r="C450" s="126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>
      <c r="A451" s="120"/>
      <c r="B451" s="120"/>
      <c r="C451" s="126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>
      <c r="A452" s="120"/>
      <c r="B452" s="120"/>
      <c r="C452" s="126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>
      <c r="A453" s="120"/>
      <c r="B453" s="120"/>
      <c r="C453" s="126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>
      <c r="A454" s="120"/>
      <c r="B454" s="120"/>
      <c r="C454" s="126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>
      <c r="A455" s="120"/>
      <c r="B455" s="120"/>
      <c r="C455" s="126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>
      <c r="A456" s="120"/>
      <c r="B456" s="120"/>
      <c r="C456" s="126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>
      <c r="A457" s="120"/>
      <c r="B457" s="120"/>
      <c r="C457" s="126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>
      <c r="A458" s="120"/>
      <c r="B458" s="120"/>
      <c r="C458" s="126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>
      <c r="A459" s="120"/>
      <c r="B459" s="120"/>
      <c r="C459" s="126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>
      <c r="A460" s="120"/>
      <c r="B460" s="120"/>
      <c r="C460" s="126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>
      <c r="A461" s="120"/>
      <c r="B461" s="120"/>
      <c r="C461" s="126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>
      <c r="A462" s="120"/>
      <c r="B462" s="120"/>
      <c r="C462" s="126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>
      <c r="A463" s="120"/>
      <c r="B463" s="120"/>
      <c r="C463" s="126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>
      <c r="A464" s="120"/>
      <c r="B464" s="120"/>
      <c r="C464" s="126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>
      <c r="A465" s="120"/>
      <c r="B465" s="120"/>
      <c r="C465" s="126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>
      <c r="A466" s="120"/>
      <c r="B466" s="120"/>
      <c r="C466" s="126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>
      <c r="A467" s="120"/>
      <c r="B467" s="120"/>
      <c r="C467" s="126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>
      <c r="A468" s="120"/>
      <c r="B468" s="120"/>
      <c r="C468" s="126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>
      <c r="A469" s="120"/>
      <c r="B469" s="120"/>
      <c r="C469" s="126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>
      <c r="A470" s="120"/>
      <c r="B470" s="120"/>
      <c r="C470" s="126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>
      <c r="A471" s="120"/>
      <c r="B471" s="120"/>
      <c r="C471" s="126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>
      <c r="A472" s="120"/>
      <c r="B472" s="120"/>
      <c r="C472" s="126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>
      <c r="A473" s="120"/>
      <c r="B473" s="120"/>
      <c r="C473" s="126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>
      <c r="A474" s="120"/>
      <c r="B474" s="120"/>
      <c r="C474" s="126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>
      <c r="A475" s="120"/>
      <c r="B475" s="120"/>
      <c r="C475" s="126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>
      <c r="A476" s="120"/>
      <c r="B476" s="120"/>
      <c r="C476" s="126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>
      <c r="A477" s="120"/>
      <c r="B477" s="120"/>
      <c r="C477" s="126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>
      <c r="A478" s="120"/>
      <c r="B478" s="120"/>
      <c r="C478" s="126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>
      <c r="A479" s="120"/>
      <c r="B479" s="120"/>
      <c r="C479" s="126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>
      <c r="A480" s="120"/>
      <c r="B480" s="120"/>
      <c r="C480" s="126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>
      <c r="A481" s="120"/>
      <c r="B481" s="120"/>
      <c r="C481" s="126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>
      <c r="A482" s="120"/>
      <c r="B482" s="120"/>
      <c r="C482" s="126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>
      <c r="A483" s="120"/>
      <c r="B483" s="120"/>
      <c r="C483" s="126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>
      <c r="A484" s="120"/>
      <c r="B484" s="120"/>
      <c r="C484" s="126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>
      <c r="A485" s="120"/>
      <c r="B485" s="120"/>
      <c r="C485" s="126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>
      <c r="A486" s="120"/>
      <c r="B486" s="120"/>
      <c r="C486" s="126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>
      <c r="A487" s="120"/>
      <c r="B487" s="120"/>
      <c r="C487" s="126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>
      <c r="A488" s="120"/>
      <c r="B488" s="120"/>
      <c r="C488" s="126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>
      <c r="A489" s="120"/>
      <c r="B489" s="120"/>
      <c r="C489" s="126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>
      <c r="A490" s="120"/>
      <c r="B490" s="120"/>
      <c r="C490" s="126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>
      <c r="A491" s="120"/>
      <c r="B491" s="120"/>
      <c r="C491" s="126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>
      <c r="A492" s="120"/>
      <c r="B492" s="120"/>
      <c r="C492" s="126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>
      <c r="A493" s="120"/>
      <c r="B493" s="120"/>
      <c r="C493" s="126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>
      <c r="A494" s="120"/>
      <c r="B494" s="120"/>
      <c r="C494" s="126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>
      <c r="A495" s="120"/>
      <c r="B495" s="120"/>
      <c r="C495" s="126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>
      <c r="A496" s="120"/>
      <c r="B496" s="120"/>
      <c r="C496" s="126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>
      <c r="A497" s="120"/>
      <c r="B497" s="120"/>
      <c r="C497" s="126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>
      <c r="A498" s="120"/>
      <c r="B498" s="120"/>
      <c r="C498" s="126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>
      <c r="A499" s="120"/>
      <c r="B499" s="120"/>
      <c r="C499" s="126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>
      <c r="A500" s="120"/>
      <c r="B500" s="120"/>
      <c r="C500" s="126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>
      <c r="A501" s="120"/>
      <c r="B501" s="120"/>
      <c r="C501" s="126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>
      <c r="A502" s="120"/>
      <c r="B502" s="120"/>
      <c r="C502" s="126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>
      <c r="A503" s="120"/>
      <c r="B503" s="120"/>
      <c r="C503" s="126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>
      <c r="A504" s="120"/>
      <c r="B504" s="120"/>
      <c r="C504" s="126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>
      <c r="A505" s="120"/>
      <c r="B505" s="120"/>
      <c r="C505" s="126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>
      <c r="A506" s="120"/>
      <c r="B506" s="120"/>
      <c r="C506" s="126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>
      <c r="A507" s="120"/>
      <c r="B507" s="120"/>
      <c r="C507" s="126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>
      <c r="A508" s="120"/>
      <c r="B508" s="120"/>
      <c r="C508" s="126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>
      <c r="A509" s="120"/>
      <c r="B509" s="120"/>
      <c r="C509" s="126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>
      <c r="A510" s="120"/>
      <c r="B510" s="120"/>
      <c r="C510" s="126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>
      <c r="A511" s="120"/>
      <c r="B511" s="120"/>
      <c r="C511" s="126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>
      <c r="A512" s="120"/>
      <c r="B512" s="120"/>
      <c r="C512" s="126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>
      <c r="A513" s="120"/>
      <c r="B513" s="120"/>
      <c r="C513" s="126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>
      <c r="A514" s="120"/>
      <c r="B514" s="120"/>
      <c r="C514" s="126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>
      <c r="A515" s="120"/>
      <c r="B515" s="120"/>
      <c r="C515" s="126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>
      <c r="A516" s="120"/>
      <c r="B516" s="120"/>
      <c r="C516" s="126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>
      <c r="A517" s="120"/>
      <c r="B517" s="120"/>
      <c r="C517" s="126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>
      <c r="A518" s="120"/>
      <c r="B518" s="120"/>
      <c r="C518" s="126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>
      <c r="A519" s="120"/>
      <c r="B519" s="120"/>
      <c r="C519" s="126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>
      <c r="A520" s="120"/>
      <c r="B520" s="120"/>
      <c r="C520" s="126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>
      <c r="A521" s="120"/>
      <c r="B521" s="120"/>
      <c r="C521" s="126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>
      <c r="A522" s="120"/>
      <c r="B522" s="120"/>
      <c r="C522" s="126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>
      <c r="A523" s="120"/>
      <c r="B523" s="120"/>
      <c r="C523" s="126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>
      <c r="A524" s="120"/>
      <c r="B524" s="120"/>
      <c r="C524" s="126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>
      <c r="A525" s="120"/>
      <c r="B525" s="120"/>
      <c r="C525" s="126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>
      <c r="A526" s="120"/>
      <c r="B526" s="120"/>
      <c r="C526" s="126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>
      <c r="A527" s="120"/>
      <c r="B527" s="120"/>
      <c r="C527" s="126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>
      <c r="A528" s="120"/>
      <c r="B528" s="120"/>
      <c r="C528" s="126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>
      <c r="A529" s="120"/>
      <c r="B529" s="120"/>
      <c r="C529" s="126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>
      <c r="A530" s="120"/>
      <c r="B530" s="120"/>
      <c r="C530" s="126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>
      <c r="A531" s="120"/>
      <c r="B531" s="120"/>
      <c r="C531" s="126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>
      <c r="A532" s="120"/>
      <c r="B532" s="120"/>
      <c r="C532" s="126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>
      <c r="A533" s="120"/>
      <c r="B533" s="120"/>
      <c r="C533" s="126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>
      <c r="A534" s="120"/>
      <c r="B534" s="120"/>
      <c r="C534" s="126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>
      <c r="A535" s="120"/>
      <c r="B535" s="120"/>
      <c r="C535" s="126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>
      <c r="A536" s="120"/>
      <c r="B536" s="120"/>
      <c r="C536" s="126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>
      <c r="A537" s="120"/>
      <c r="B537" s="120"/>
      <c r="C537" s="126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>
      <c r="A538" s="120"/>
      <c r="B538" s="120"/>
      <c r="C538" s="126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>
      <c r="A539" s="120"/>
      <c r="B539" s="120"/>
      <c r="C539" s="126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>
      <c r="A540" s="120"/>
      <c r="B540" s="120"/>
      <c r="C540" s="126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>
      <c r="A541" s="120"/>
      <c r="B541" s="120"/>
      <c r="C541" s="126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>
      <c r="A542" s="120"/>
      <c r="B542" s="120"/>
      <c r="C542" s="126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>
      <c r="A543" s="120"/>
      <c r="B543" s="120"/>
      <c r="C543" s="126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>
      <c r="A544" s="120"/>
      <c r="B544" s="120"/>
      <c r="C544" s="126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>
      <c r="A545" s="120"/>
      <c r="B545" s="120"/>
      <c r="C545" s="126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>
      <c r="A546" s="120"/>
      <c r="B546" s="120"/>
      <c r="C546" s="126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>
      <c r="A547" s="120"/>
      <c r="B547" s="120"/>
      <c r="C547" s="126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>
      <c r="A548" s="120"/>
      <c r="B548" s="120"/>
      <c r="C548" s="126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>
      <c r="A549" s="120"/>
      <c r="B549" s="120"/>
      <c r="C549" s="126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>
      <c r="A550" s="120"/>
      <c r="B550" s="120"/>
      <c r="C550" s="126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>
      <c r="A551" s="120"/>
      <c r="B551" s="120"/>
      <c r="C551" s="126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>
      <c r="A552" s="120"/>
      <c r="B552" s="120"/>
      <c r="C552" s="126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>
      <c r="A553" s="120"/>
      <c r="B553" s="120"/>
      <c r="C553" s="126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>
      <c r="A554" s="120"/>
      <c r="B554" s="120"/>
      <c r="C554" s="126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>
      <c r="A555" s="120"/>
      <c r="B555" s="120"/>
      <c r="C555" s="126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>
      <c r="A556" s="120"/>
      <c r="B556" s="120"/>
      <c r="C556" s="126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>
      <c r="A557" s="120"/>
      <c r="B557" s="120"/>
      <c r="C557" s="126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>
      <c r="A558" s="120"/>
      <c r="B558" s="120"/>
      <c r="C558" s="126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>
      <c r="A559" s="120"/>
      <c r="B559" s="120"/>
      <c r="C559" s="126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>
      <c r="A560" s="120"/>
      <c r="B560" s="120"/>
      <c r="C560" s="126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>
      <c r="A561" s="120"/>
      <c r="B561" s="120"/>
      <c r="C561" s="126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>
      <c r="A562" s="120"/>
      <c r="B562" s="120"/>
      <c r="C562" s="126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>
      <c r="A563" s="120"/>
      <c r="B563" s="120"/>
      <c r="C563" s="126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>
      <c r="A564" s="120"/>
      <c r="B564" s="120"/>
      <c r="C564" s="126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>
      <c r="A565" s="120"/>
      <c r="B565" s="120"/>
      <c r="C565" s="126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>
      <c r="A566" s="120"/>
      <c r="B566" s="120"/>
      <c r="C566" s="126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>
      <c r="A567" s="120"/>
      <c r="B567" s="120"/>
      <c r="C567" s="126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>
      <c r="A568" s="120"/>
      <c r="B568" s="120"/>
      <c r="C568" s="126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>
      <c r="A569" s="120"/>
      <c r="B569" s="120"/>
      <c r="C569" s="126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>
      <c r="A570" s="120"/>
      <c r="B570" s="120"/>
      <c r="C570" s="126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>
      <c r="A571" s="120"/>
      <c r="B571" s="120"/>
      <c r="C571" s="126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>
      <c r="A572" s="120"/>
      <c r="B572" s="120"/>
      <c r="C572" s="126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>
      <c r="A573" s="120"/>
      <c r="B573" s="120"/>
      <c r="C573" s="126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>
      <c r="A574" s="120"/>
      <c r="B574" s="120"/>
      <c r="C574" s="126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>
      <c r="A575" s="120"/>
      <c r="B575" s="120"/>
      <c r="C575" s="126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>
      <c r="A576" s="120"/>
      <c r="B576" s="120"/>
      <c r="C576" s="126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>
      <c r="A577" s="120"/>
      <c r="B577" s="120"/>
      <c r="C577" s="126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>
      <c r="A578" s="120"/>
      <c r="B578" s="120"/>
      <c r="C578" s="126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>
      <c r="A579" s="120"/>
      <c r="B579" s="120"/>
      <c r="C579" s="126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>
      <c r="A580" s="120"/>
      <c r="B580" s="120"/>
      <c r="C580" s="126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>
      <c r="A581" s="120"/>
      <c r="B581" s="120"/>
      <c r="C581" s="126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>
      <c r="A582" s="120"/>
      <c r="B582" s="120"/>
      <c r="C582" s="126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>
      <c r="A583" s="120"/>
      <c r="B583" s="120"/>
      <c r="C583" s="126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>
      <c r="A584" s="120"/>
      <c r="B584" s="120"/>
      <c r="C584" s="126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>
      <c r="A585" s="120"/>
      <c r="B585" s="120"/>
      <c r="C585" s="126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>
      <c r="A586" s="120"/>
      <c r="B586" s="120"/>
      <c r="C586" s="126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>
      <c r="A587" s="120"/>
      <c r="B587" s="120"/>
      <c r="C587" s="126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>
      <c r="A588" s="120"/>
      <c r="B588" s="120"/>
      <c r="C588" s="126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>
      <c r="A589" s="120"/>
      <c r="B589" s="120"/>
      <c r="C589" s="126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>
      <c r="A590" s="120"/>
      <c r="B590" s="120"/>
      <c r="C590" s="126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>
      <c r="A591" s="120"/>
      <c r="B591" s="120"/>
      <c r="C591" s="126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>
      <c r="A592" s="120"/>
      <c r="B592" s="120"/>
      <c r="C592" s="126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>
      <c r="A593" s="120"/>
      <c r="B593" s="120"/>
      <c r="C593" s="126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>
      <c r="A594" s="120"/>
      <c r="B594" s="120"/>
      <c r="C594" s="126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>
      <c r="A595" s="120"/>
      <c r="B595" s="120"/>
      <c r="C595" s="126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>
      <c r="A596" s="120"/>
      <c r="B596" s="120"/>
      <c r="C596" s="126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>
      <c r="A597" s="120"/>
      <c r="B597" s="120"/>
      <c r="C597" s="126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>
      <c r="A598" s="120"/>
      <c r="B598" s="120"/>
      <c r="C598" s="126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>
      <c r="A599" s="120"/>
      <c r="B599" s="120"/>
      <c r="C599" s="126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>
      <c r="A600" s="120"/>
      <c r="B600" s="120"/>
      <c r="C600" s="126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>
      <c r="A601" s="120"/>
      <c r="B601" s="120"/>
      <c r="C601" s="126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>
      <c r="A602" s="120"/>
      <c r="B602" s="120"/>
      <c r="C602" s="126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>
      <c r="A603" s="120"/>
      <c r="B603" s="120"/>
      <c r="C603" s="126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>
      <c r="A604" s="120"/>
      <c r="B604" s="120"/>
      <c r="C604" s="126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>
      <c r="A605" s="120"/>
      <c r="B605" s="120"/>
      <c r="C605" s="126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>
      <c r="A606" s="120"/>
      <c r="B606" s="120"/>
      <c r="C606" s="126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>
      <c r="A607" s="120"/>
      <c r="B607" s="120"/>
      <c r="C607" s="126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>
      <c r="A608" s="120"/>
      <c r="B608" s="120"/>
      <c r="C608" s="126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>
      <c r="A609" s="120"/>
      <c r="B609" s="120"/>
      <c r="C609" s="126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>
      <c r="A610" s="120"/>
      <c r="B610" s="120"/>
      <c r="C610" s="126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>
      <c r="A611" s="120"/>
      <c r="B611" s="120"/>
      <c r="C611" s="126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>
      <c r="A612" s="120"/>
      <c r="B612" s="120"/>
      <c r="C612" s="126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>
      <c r="A613" s="120"/>
      <c r="B613" s="120"/>
      <c r="C613" s="126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>
      <c r="A614" s="120"/>
      <c r="B614" s="120"/>
      <c r="C614" s="126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>
      <c r="A615" s="120"/>
      <c r="B615" s="120"/>
      <c r="C615" s="126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>
      <c r="A616" s="120"/>
      <c r="B616" s="120"/>
      <c r="C616" s="126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>
      <c r="A617" s="120"/>
      <c r="B617" s="120"/>
      <c r="C617" s="126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>
      <c r="A618" s="120"/>
      <c r="B618" s="120"/>
      <c r="C618" s="126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>
      <c r="A619" s="120"/>
      <c r="B619" s="120"/>
      <c r="C619" s="126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>
      <c r="A620" s="120"/>
      <c r="B620" s="120"/>
      <c r="C620" s="126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>
      <c r="A621" s="120"/>
      <c r="B621" s="120"/>
      <c r="C621" s="126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>
      <c r="A622" s="120"/>
      <c r="B622" s="120"/>
      <c r="C622" s="126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>
      <c r="A623" s="120"/>
      <c r="B623" s="120"/>
      <c r="C623" s="126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>
      <c r="A624" s="120"/>
      <c r="B624" s="120"/>
      <c r="C624" s="126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>
      <c r="A625" s="120"/>
      <c r="B625" s="120"/>
      <c r="C625" s="126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>
      <c r="A626" s="120"/>
      <c r="B626" s="120"/>
      <c r="C626" s="126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>
      <c r="A627" s="120"/>
      <c r="B627" s="120"/>
      <c r="C627" s="126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>
      <c r="A628" s="120"/>
      <c r="B628" s="120"/>
      <c r="C628" s="126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>
      <c r="A629" s="120"/>
      <c r="B629" s="120"/>
      <c r="C629" s="126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>
      <c r="A630" s="120"/>
      <c r="B630" s="120"/>
      <c r="C630" s="126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>
      <c r="A631" s="120"/>
      <c r="B631" s="120"/>
      <c r="C631" s="126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>
      <c r="A632" s="120"/>
      <c r="B632" s="120"/>
      <c r="C632" s="126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>
      <c r="A633" s="120"/>
      <c r="B633" s="120"/>
      <c r="C633" s="126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>
      <c r="A634" s="120"/>
      <c r="B634" s="120"/>
      <c r="C634" s="126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>
      <c r="A635" s="120"/>
      <c r="B635" s="120"/>
      <c r="C635" s="126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>
      <c r="A636" s="120"/>
      <c r="B636" s="120"/>
      <c r="C636" s="126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>
      <c r="A637" s="120"/>
      <c r="B637" s="120"/>
      <c r="C637" s="126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>
      <c r="A638" s="120"/>
      <c r="B638" s="120"/>
      <c r="C638" s="126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>
      <c r="A639" s="120"/>
      <c r="B639" s="120"/>
      <c r="C639" s="126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>
      <c r="A640" s="120"/>
      <c r="B640" s="120"/>
      <c r="C640" s="126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>
      <c r="A641" s="120"/>
      <c r="B641" s="120"/>
      <c r="C641" s="126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>
      <c r="A642" s="120"/>
      <c r="B642" s="120"/>
      <c r="C642" s="126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>
      <c r="A643" s="120"/>
      <c r="B643" s="120"/>
      <c r="C643" s="126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>
      <c r="A644" s="120"/>
      <c r="B644" s="120"/>
      <c r="C644" s="126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>
      <c r="A645" s="120"/>
      <c r="B645" s="120"/>
      <c r="C645" s="126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>
      <c r="A646" s="120"/>
      <c r="B646" s="120"/>
      <c r="C646" s="126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>
      <c r="A647" s="120"/>
      <c r="B647" s="120"/>
      <c r="C647" s="126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>
      <c r="A648" s="120"/>
      <c r="B648" s="120"/>
      <c r="C648" s="126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>
      <c r="A649" s="120"/>
      <c r="B649" s="120"/>
      <c r="C649" s="126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>
      <c r="A650" s="120"/>
      <c r="B650" s="120"/>
      <c r="C650" s="126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>
      <c r="A651" s="120"/>
      <c r="B651" s="120"/>
      <c r="C651" s="126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>
      <c r="A652" s="120"/>
      <c r="B652" s="120"/>
      <c r="C652" s="126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>
      <c r="A653" s="120"/>
      <c r="B653" s="120"/>
      <c r="C653" s="126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>
      <c r="A654" s="120"/>
      <c r="B654" s="120"/>
      <c r="C654" s="126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>
      <c r="A655" s="120"/>
      <c r="B655" s="120"/>
      <c r="C655" s="126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>
      <c r="A656" s="120"/>
      <c r="B656" s="120"/>
      <c r="C656" s="126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>
      <c r="A657" s="120"/>
      <c r="B657" s="120"/>
      <c r="C657" s="126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>
      <c r="A658" s="120"/>
      <c r="B658" s="120"/>
      <c r="C658" s="126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>
      <c r="A659" s="120"/>
      <c r="B659" s="120"/>
      <c r="C659" s="126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>
      <c r="A660" s="120"/>
      <c r="B660" s="120"/>
      <c r="C660" s="126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>
      <c r="A661" s="120"/>
      <c r="B661" s="120"/>
      <c r="C661" s="126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>
      <c r="A662" s="120"/>
      <c r="B662" s="120"/>
      <c r="C662" s="126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>
      <c r="A663" s="120"/>
      <c r="B663" s="120"/>
      <c r="C663" s="126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>
      <c r="A664" s="120"/>
      <c r="B664" s="120"/>
      <c r="C664" s="126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>
      <c r="A665" s="120"/>
      <c r="B665" s="120"/>
      <c r="C665" s="126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>
      <c r="A666" s="120"/>
      <c r="B666" s="120"/>
      <c r="C666" s="126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>
      <c r="A667" s="120"/>
      <c r="B667" s="120"/>
      <c r="C667" s="126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>
      <c r="A668" s="120"/>
      <c r="B668" s="120"/>
      <c r="C668" s="126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>
      <c r="A669" s="120"/>
      <c r="B669" s="120"/>
      <c r="C669" s="126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>
      <c r="A670" s="120"/>
      <c r="B670" s="120"/>
      <c r="C670" s="126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>
      <c r="A671" s="120"/>
      <c r="B671" s="120"/>
      <c r="C671" s="126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>
      <c r="A672" s="120"/>
      <c r="B672" s="120"/>
      <c r="C672" s="126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>
      <c r="A673" s="120"/>
      <c r="B673" s="120"/>
      <c r="C673" s="126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>
      <c r="A674" s="120"/>
      <c r="B674" s="120"/>
      <c r="C674" s="126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>
      <c r="A675" s="120"/>
      <c r="B675" s="120"/>
      <c r="C675" s="126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>
      <c r="A676" s="120"/>
      <c r="B676" s="120"/>
      <c r="C676" s="126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>
      <c r="A677" s="120"/>
      <c r="B677" s="120"/>
      <c r="C677" s="126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>
      <c r="A678" s="120"/>
      <c r="B678" s="120"/>
      <c r="C678" s="126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>
      <c r="A679" s="120"/>
      <c r="B679" s="120"/>
      <c r="C679" s="126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>
      <c r="A680" s="120"/>
      <c r="B680" s="120"/>
      <c r="C680" s="126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>
      <c r="A681" s="120"/>
      <c r="B681" s="120"/>
      <c r="C681" s="126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>
      <c r="A682" s="120"/>
      <c r="B682" s="120"/>
      <c r="C682" s="126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>
      <c r="A683" s="120"/>
      <c r="B683" s="120"/>
      <c r="C683" s="126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>
      <c r="A684" s="120"/>
      <c r="B684" s="120"/>
      <c r="C684" s="126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>
      <c r="A685" s="120"/>
      <c r="B685" s="120"/>
      <c r="C685" s="126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>
      <c r="A686" s="120"/>
      <c r="B686" s="120"/>
      <c r="C686" s="126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>
      <c r="A687" s="120"/>
      <c r="B687" s="120"/>
      <c r="C687" s="126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>
      <c r="A688" s="120"/>
      <c r="B688" s="120"/>
      <c r="C688" s="126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>
      <c r="A689" s="120"/>
      <c r="B689" s="120"/>
      <c r="C689" s="126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>
      <c r="A690" s="120"/>
      <c r="B690" s="120"/>
      <c r="C690" s="126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>
      <c r="A691" s="120"/>
      <c r="B691" s="120"/>
      <c r="C691" s="126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>
      <c r="A692" s="120"/>
      <c r="B692" s="120"/>
      <c r="C692" s="126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>
      <c r="A693" s="120"/>
      <c r="B693" s="120"/>
      <c r="C693" s="126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>
      <c r="A694" s="120"/>
      <c r="B694" s="120"/>
      <c r="C694" s="126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>
      <c r="A695" s="120"/>
      <c r="B695" s="120"/>
      <c r="C695" s="126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>
      <c r="A696" s="120"/>
      <c r="B696" s="120"/>
      <c r="C696" s="126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>
      <c r="A697" s="120"/>
      <c r="B697" s="120"/>
      <c r="C697" s="126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>
      <c r="A698" s="120"/>
      <c r="B698" s="120"/>
      <c r="C698" s="126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>
      <c r="A699" s="120"/>
      <c r="B699" s="120"/>
      <c r="C699" s="126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>
      <c r="A700" s="120"/>
      <c r="B700" s="120"/>
      <c r="C700" s="126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>
      <c r="A701" s="120"/>
      <c r="B701" s="120"/>
      <c r="C701" s="126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>
      <c r="A702" s="120"/>
      <c r="B702" s="120"/>
      <c r="C702" s="126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>
      <c r="A703" s="120"/>
      <c r="B703" s="120"/>
      <c r="C703" s="126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>
      <c r="A704" s="120"/>
      <c r="B704" s="120"/>
      <c r="C704" s="126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>
      <c r="A705" s="120"/>
      <c r="B705" s="120"/>
      <c r="C705" s="126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>
      <c r="A706" s="120"/>
      <c r="B706" s="120"/>
      <c r="C706" s="126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>
      <c r="A707" s="120"/>
      <c r="B707" s="120"/>
      <c r="C707" s="126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>
      <c r="A708" s="120"/>
      <c r="B708" s="120"/>
      <c r="C708" s="126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>
      <c r="A709" s="120"/>
      <c r="B709" s="120"/>
      <c r="C709" s="126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>
      <c r="A710" s="120"/>
      <c r="B710" s="120"/>
      <c r="C710" s="126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>
      <c r="A711" s="120"/>
      <c r="B711" s="120"/>
      <c r="C711" s="126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>
      <c r="A712" s="120"/>
      <c r="B712" s="120"/>
      <c r="C712" s="126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>
      <c r="A713" s="120"/>
      <c r="B713" s="120"/>
      <c r="C713" s="126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>
      <c r="A714" s="120"/>
      <c r="B714" s="120"/>
      <c r="C714" s="126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>
      <c r="A715" s="120"/>
      <c r="B715" s="120"/>
      <c r="C715" s="126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>
      <c r="A716" s="120"/>
      <c r="B716" s="120"/>
      <c r="C716" s="126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>
      <c r="A717" s="120"/>
      <c r="B717" s="120"/>
      <c r="C717" s="126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>
      <c r="A718" s="120"/>
      <c r="B718" s="120"/>
      <c r="C718" s="126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>
      <c r="A719" s="120"/>
      <c r="B719" s="120"/>
      <c r="C719" s="126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>
      <c r="A720" s="120"/>
      <c r="B720" s="120"/>
      <c r="C720" s="126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>
      <c r="A721" s="120"/>
      <c r="B721" s="120"/>
      <c r="C721" s="126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>
      <c r="A722" s="120"/>
      <c r="B722" s="120"/>
      <c r="C722" s="126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>
      <c r="A723" s="120"/>
      <c r="B723" s="120"/>
      <c r="C723" s="126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>
      <c r="A724" s="120"/>
      <c r="B724" s="120"/>
      <c r="C724" s="126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>
      <c r="A725" s="120"/>
      <c r="B725" s="120"/>
      <c r="C725" s="126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>
      <c r="A726" s="120"/>
      <c r="B726" s="120"/>
      <c r="C726" s="126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>
      <c r="A727" s="120"/>
      <c r="B727" s="120"/>
      <c r="C727" s="126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>
      <c r="A728" s="120"/>
      <c r="B728" s="120"/>
      <c r="C728" s="126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>
      <c r="A729" s="120"/>
      <c r="B729" s="120"/>
      <c r="C729" s="126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>
      <c r="A730" s="120"/>
      <c r="B730" s="120"/>
      <c r="C730" s="126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>
      <c r="A731" s="120"/>
      <c r="B731" s="120"/>
      <c r="C731" s="126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>
      <c r="A732" s="120"/>
      <c r="B732" s="120"/>
      <c r="C732" s="126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>
      <c r="A733" s="120"/>
      <c r="B733" s="120"/>
      <c r="C733" s="126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>
      <c r="A734" s="120"/>
      <c r="B734" s="120"/>
      <c r="C734" s="126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>
      <c r="A735" s="120"/>
      <c r="B735" s="120"/>
      <c r="C735" s="126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>
      <c r="A736" s="120"/>
      <c r="B736" s="120"/>
      <c r="C736" s="126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>
      <c r="A737" s="120"/>
      <c r="B737" s="120"/>
      <c r="C737" s="126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>
      <c r="A738" s="120"/>
      <c r="B738" s="120"/>
      <c r="C738" s="126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>
      <c r="A739" s="120"/>
      <c r="B739" s="120"/>
      <c r="C739" s="126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>
      <c r="A740" s="120"/>
      <c r="B740" s="120"/>
      <c r="C740" s="126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>
      <c r="A741" s="120"/>
      <c r="B741" s="120"/>
      <c r="C741" s="126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>
      <c r="A742" s="120"/>
      <c r="B742" s="120"/>
      <c r="C742" s="126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>
      <c r="A743" s="120"/>
      <c r="B743" s="120"/>
      <c r="C743" s="126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>
      <c r="A744" s="120"/>
      <c r="B744" s="120"/>
      <c r="C744" s="126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>
      <c r="A745" s="120"/>
      <c r="B745" s="120"/>
      <c r="C745" s="126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>
      <c r="A746" s="120"/>
      <c r="B746" s="120"/>
      <c r="C746" s="126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>
      <c r="A747" s="120"/>
      <c r="B747" s="120"/>
      <c r="C747" s="126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>
      <c r="A748" s="120"/>
      <c r="B748" s="120"/>
      <c r="C748" s="126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>
      <c r="A749" s="120"/>
      <c r="B749" s="120"/>
      <c r="C749" s="126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>
      <c r="A750" s="120"/>
      <c r="B750" s="120"/>
      <c r="C750" s="126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>
      <c r="A751" s="120"/>
      <c r="B751" s="120"/>
      <c r="C751" s="126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>
      <c r="A752" s="120"/>
      <c r="B752" s="120"/>
      <c r="C752" s="126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>
      <c r="A753" s="120"/>
      <c r="B753" s="120"/>
      <c r="C753" s="126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>
      <c r="A754" s="120"/>
      <c r="B754" s="120"/>
      <c r="C754" s="126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>
      <c r="A755" s="120"/>
      <c r="B755" s="120"/>
      <c r="C755" s="126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>
      <c r="A756" s="120"/>
      <c r="B756" s="120"/>
      <c r="C756" s="126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>
      <c r="A757" s="120"/>
      <c r="B757" s="120"/>
      <c r="C757" s="126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>
      <c r="A758" s="120"/>
      <c r="B758" s="120"/>
      <c r="C758" s="126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>
      <c r="A759" s="120"/>
      <c r="B759" s="120"/>
      <c r="C759" s="126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>
      <c r="A760" s="120"/>
      <c r="B760" s="120"/>
      <c r="C760" s="126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>
      <c r="A761" s="120"/>
      <c r="B761" s="120"/>
      <c r="C761" s="126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>
      <c r="A762" s="120"/>
      <c r="B762" s="120"/>
      <c r="C762" s="126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>
      <c r="A763" s="120"/>
      <c r="B763" s="120"/>
      <c r="C763" s="126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>
      <c r="A764" s="120"/>
      <c r="B764" s="120"/>
      <c r="C764" s="126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>
      <c r="A765" s="120"/>
      <c r="B765" s="120"/>
      <c r="C765" s="126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>
      <c r="A766" s="120"/>
      <c r="B766" s="120"/>
      <c r="C766" s="126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>
      <c r="A767" s="120"/>
      <c r="B767" s="120"/>
      <c r="C767" s="126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>
      <c r="A768" s="120"/>
      <c r="B768" s="120"/>
      <c r="C768" s="126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>
      <c r="A769" s="120"/>
      <c r="B769" s="120"/>
      <c r="C769" s="126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>
      <c r="A770" s="120"/>
      <c r="B770" s="120"/>
      <c r="C770" s="126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>
      <c r="A771" s="120"/>
      <c r="B771" s="120"/>
      <c r="C771" s="126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>
      <c r="A772" s="120"/>
      <c r="B772" s="120"/>
      <c r="C772" s="126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>
      <c r="A773" s="120"/>
      <c r="B773" s="120"/>
      <c r="C773" s="126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>
      <c r="A774" s="120"/>
      <c r="B774" s="120"/>
      <c r="C774" s="126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>
      <c r="A775" s="120"/>
      <c r="B775" s="120"/>
      <c r="C775" s="126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>
      <c r="A776" s="120"/>
      <c r="B776" s="120"/>
      <c r="C776" s="126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>
      <c r="A777" s="120"/>
      <c r="B777" s="120"/>
      <c r="C777" s="126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>
      <c r="A778" s="120"/>
      <c r="B778" s="120"/>
      <c r="C778" s="126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>
      <c r="A779" s="120"/>
      <c r="B779" s="120"/>
      <c r="C779" s="126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>
      <c r="A780" s="120"/>
      <c r="B780" s="120"/>
      <c r="C780" s="126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>
      <c r="A781" s="120"/>
      <c r="B781" s="120"/>
      <c r="C781" s="126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>
      <c r="A782" s="120"/>
      <c r="B782" s="120"/>
      <c r="C782" s="126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>
      <c r="A783" s="120"/>
      <c r="B783" s="120"/>
      <c r="C783" s="126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>
      <c r="A784" s="120"/>
      <c r="B784" s="120"/>
      <c r="C784" s="126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>
      <c r="A785" s="120"/>
      <c r="B785" s="120"/>
      <c r="C785" s="126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>
      <c r="A786" s="120"/>
      <c r="B786" s="120"/>
      <c r="C786" s="126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>
      <c r="A787" s="120"/>
      <c r="B787" s="120"/>
      <c r="C787" s="126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>
      <c r="A788" s="120"/>
      <c r="B788" s="120"/>
      <c r="C788" s="126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>
      <c r="A789" s="120"/>
      <c r="B789" s="120"/>
      <c r="C789" s="126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>
      <c r="A790" s="120"/>
      <c r="B790" s="120"/>
      <c r="C790" s="126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>
      <c r="A791" s="120"/>
      <c r="B791" s="120"/>
      <c r="C791" s="126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>
      <c r="A792" s="120"/>
      <c r="B792" s="120"/>
      <c r="C792" s="126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>
      <c r="A793" s="120"/>
      <c r="B793" s="120"/>
      <c r="C793" s="126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>
      <c r="A794" s="120"/>
      <c r="B794" s="120"/>
      <c r="C794" s="126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>
      <c r="A795" s="120"/>
      <c r="B795" s="120"/>
      <c r="C795" s="126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>
      <c r="A796" s="120"/>
      <c r="B796" s="120"/>
      <c r="C796" s="126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>
      <c r="A797" s="120"/>
      <c r="B797" s="120"/>
      <c r="C797" s="126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>
      <c r="A798" s="120"/>
      <c r="B798" s="120"/>
      <c r="C798" s="126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>
      <c r="A799" s="120"/>
      <c r="B799" s="120"/>
      <c r="C799" s="126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>
      <c r="A800" s="120"/>
      <c r="B800" s="120"/>
      <c r="C800" s="126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>
      <c r="A801" s="120"/>
      <c r="B801" s="120"/>
      <c r="C801" s="126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>
      <c r="A802" s="120"/>
      <c r="B802" s="120"/>
      <c r="C802" s="126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>
      <c r="A803" s="120"/>
      <c r="B803" s="120"/>
      <c r="C803" s="126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>
      <c r="A804" s="120"/>
      <c r="B804" s="120"/>
      <c r="C804" s="126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>
      <c r="A805" s="120"/>
      <c r="B805" s="120"/>
      <c r="C805" s="126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>
      <c r="A806" s="120"/>
      <c r="B806" s="120"/>
      <c r="C806" s="126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>
      <c r="A807" s="120"/>
      <c r="B807" s="120"/>
      <c r="C807" s="126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>
      <c r="A808" s="120"/>
      <c r="B808" s="120"/>
      <c r="C808" s="126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>
      <c r="A809" s="120"/>
      <c r="B809" s="120"/>
      <c r="C809" s="126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>
      <c r="A810" s="120"/>
      <c r="B810" s="120"/>
      <c r="C810" s="126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>
      <c r="A811" s="120"/>
      <c r="B811" s="120"/>
      <c r="C811" s="126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>
      <c r="A812" s="120"/>
      <c r="B812" s="120"/>
      <c r="C812" s="126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>
      <c r="A813" s="120"/>
      <c r="B813" s="120"/>
      <c r="C813" s="126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>
      <c r="A814" s="120"/>
      <c r="B814" s="120"/>
      <c r="C814" s="126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>
      <c r="A815" s="120"/>
      <c r="B815" s="120"/>
      <c r="C815" s="126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>
      <c r="A816" s="120"/>
      <c r="B816" s="120"/>
      <c r="C816" s="126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>
      <c r="A817" s="120"/>
      <c r="B817" s="120"/>
      <c r="C817" s="126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>
      <c r="A818" s="120"/>
      <c r="B818" s="120"/>
      <c r="C818" s="126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>
      <c r="A819" s="120"/>
      <c r="B819" s="120"/>
      <c r="C819" s="126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>
      <c r="A820" s="120"/>
      <c r="B820" s="120"/>
      <c r="C820" s="126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>
      <c r="A821" s="120"/>
      <c r="B821" s="120"/>
      <c r="C821" s="126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>
      <c r="A822" s="120"/>
      <c r="B822" s="120"/>
      <c r="C822" s="126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>
      <c r="A823" s="120"/>
      <c r="B823" s="120"/>
      <c r="C823" s="126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>
      <c r="A824" s="120"/>
      <c r="B824" s="120"/>
      <c r="C824" s="126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>
      <c r="A825" s="120"/>
      <c r="B825" s="120"/>
      <c r="C825" s="126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>
      <c r="A826" s="120"/>
      <c r="B826" s="120"/>
      <c r="C826" s="126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>
      <c r="A827" s="120"/>
      <c r="B827" s="120"/>
      <c r="C827" s="126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>
      <c r="A828" s="120"/>
      <c r="B828" s="120"/>
      <c r="C828" s="126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>
      <c r="A829" s="120"/>
      <c r="B829" s="120"/>
      <c r="C829" s="126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>
      <c r="A830" s="120"/>
      <c r="B830" s="120"/>
      <c r="C830" s="126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>
      <c r="A831" s="120"/>
      <c r="B831" s="120"/>
      <c r="C831" s="126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>
      <c r="A832" s="120"/>
      <c r="B832" s="120"/>
      <c r="C832" s="126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>
      <c r="A833" s="120"/>
      <c r="B833" s="120"/>
      <c r="C833" s="126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>
      <c r="A834" s="120"/>
      <c r="B834" s="120"/>
      <c r="C834" s="126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>
      <c r="A835" s="120"/>
      <c r="B835" s="120"/>
      <c r="C835" s="126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>
      <c r="A836" s="120"/>
      <c r="B836" s="120"/>
      <c r="C836" s="126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>
      <c r="A837" s="120"/>
      <c r="B837" s="120"/>
      <c r="C837" s="126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>
      <c r="A838" s="120"/>
      <c r="B838" s="120"/>
      <c r="C838" s="126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>
      <c r="A839" s="120"/>
      <c r="B839" s="120"/>
      <c r="C839" s="126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>
      <c r="A840" s="120"/>
      <c r="B840" s="120"/>
      <c r="C840" s="126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>
      <c r="A841" s="120"/>
      <c r="B841" s="120"/>
      <c r="C841" s="126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>
      <c r="A842" s="120"/>
      <c r="B842" s="120"/>
      <c r="C842" s="126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>
      <c r="A843" s="120"/>
      <c r="B843" s="120"/>
      <c r="C843" s="126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>
      <c r="A844" s="120"/>
      <c r="B844" s="120"/>
      <c r="C844" s="126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>
      <c r="A845" s="120"/>
      <c r="B845" s="120"/>
      <c r="C845" s="126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>
      <c r="A846" s="120"/>
      <c r="B846" s="120"/>
      <c r="C846" s="126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>
      <c r="A847" s="120"/>
      <c r="B847" s="120"/>
      <c r="C847" s="126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>
      <c r="A848" s="120"/>
      <c r="B848" s="120"/>
      <c r="C848" s="126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>
      <c r="A849" s="120"/>
      <c r="B849" s="120"/>
      <c r="C849" s="126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>
      <c r="A850" s="120"/>
      <c r="B850" s="120"/>
      <c r="C850" s="126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>
      <c r="A851" s="120"/>
      <c r="B851" s="120"/>
      <c r="C851" s="126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>
      <c r="A852" s="120"/>
      <c r="B852" s="120"/>
      <c r="C852" s="126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>
      <c r="A853" s="120"/>
      <c r="B853" s="120"/>
      <c r="C853" s="126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>
      <c r="A854" s="120"/>
      <c r="B854" s="120"/>
      <c r="C854" s="126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>
      <c r="A855" s="120"/>
      <c r="B855" s="120"/>
      <c r="C855" s="126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>
      <c r="A856" s="120"/>
      <c r="B856" s="120"/>
      <c r="C856" s="126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>
      <c r="A857" s="120"/>
      <c r="B857" s="120"/>
      <c r="C857" s="126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>
      <c r="A858" s="120"/>
      <c r="B858" s="120"/>
      <c r="C858" s="126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>
      <c r="A859" s="120"/>
      <c r="B859" s="120"/>
      <c r="C859" s="126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>
      <c r="A860" s="120"/>
      <c r="B860" s="120"/>
      <c r="C860" s="126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>
      <c r="A861" s="120"/>
      <c r="B861" s="120"/>
      <c r="C861" s="126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>
      <c r="A862" s="120"/>
      <c r="B862" s="120"/>
      <c r="C862" s="126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>
      <c r="A863" s="120"/>
      <c r="B863" s="120"/>
      <c r="C863" s="126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>
      <c r="A864" s="120"/>
      <c r="B864" s="120"/>
      <c r="C864" s="126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>
      <c r="A865" s="120"/>
      <c r="B865" s="120"/>
      <c r="C865" s="126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>
      <c r="A866" s="120"/>
      <c r="B866" s="120"/>
      <c r="C866" s="126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>
      <c r="A867" s="120"/>
      <c r="B867" s="120"/>
      <c r="C867" s="126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>
      <c r="A868" s="120"/>
      <c r="B868" s="120"/>
      <c r="C868" s="126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>
      <c r="A869" s="120"/>
      <c r="B869" s="120"/>
      <c r="C869" s="126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>
      <c r="A870" s="120"/>
      <c r="B870" s="120"/>
      <c r="C870" s="126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>
      <c r="A871" s="120"/>
      <c r="B871" s="120"/>
      <c r="C871" s="126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>
      <c r="A872" s="120"/>
      <c r="B872" s="120"/>
      <c r="C872" s="126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>
      <c r="A873" s="120"/>
      <c r="B873" s="120"/>
      <c r="C873" s="126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>
      <c r="A874" s="120"/>
      <c r="B874" s="120"/>
      <c r="C874" s="126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>
      <c r="A875" s="120"/>
      <c r="B875" s="120"/>
      <c r="C875" s="126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>
      <c r="A876" s="120"/>
      <c r="B876" s="120"/>
      <c r="C876" s="126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>
      <c r="A877" s="120"/>
      <c r="B877" s="120"/>
      <c r="C877" s="126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>
      <c r="A878" s="120"/>
      <c r="B878" s="120"/>
      <c r="C878" s="126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>
      <c r="A879" s="120"/>
      <c r="B879" s="120"/>
      <c r="C879" s="126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>
      <c r="A880" s="120"/>
      <c r="B880" s="120"/>
      <c r="C880" s="126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>
      <c r="A881" s="120"/>
      <c r="B881" s="120"/>
      <c r="C881" s="126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>
      <c r="A882" s="120"/>
      <c r="B882" s="120"/>
      <c r="C882" s="126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>
      <c r="A883" s="120"/>
      <c r="B883" s="120"/>
      <c r="C883" s="126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>
      <c r="A884" s="120"/>
      <c r="B884" s="120"/>
      <c r="C884" s="126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>
      <c r="A885" s="120"/>
      <c r="B885" s="120"/>
      <c r="C885" s="126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>
      <c r="A886" s="120"/>
      <c r="B886" s="120"/>
      <c r="C886" s="126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>
      <c r="A887" s="120"/>
      <c r="B887" s="120"/>
      <c r="C887" s="126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>
      <c r="A888" s="120"/>
      <c r="B888" s="120"/>
      <c r="C888" s="126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>
      <c r="A889" s="120"/>
      <c r="B889" s="120"/>
      <c r="C889" s="126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>
      <c r="A890" s="120"/>
      <c r="B890" s="120"/>
      <c r="C890" s="126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>
      <c r="A891" s="120"/>
      <c r="B891" s="120"/>
      <c r="C891" s="126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>
      <c r="A892" s="120"/>
      <c r="B892" s="120"/>
      <c r="C892" s="126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>
      <c r="A893" s="120"/>
      <c r="B893" s="120"/>
      <c r="C893" s="126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>
      <c r="A894" s="120"/>
      <c r="B894" s="120"/>
      <c r="C894" s="126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>
      <c r="A895" s="120"/>
      <c r="B895" s="120"/>
      <c r="C895" s="126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>
      <c r="A896" s="120"/>
      <c r="B896" s="120"/>
      <c r="C896" s="126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>
      <c r="A897" s="120"/>
      <c r="B897" s="120"/>
      <c r="C897" s="126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>
      <c r="A898" s="120"/>
      <c r="B898" s="120"/>
      <c r="C898" s="126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>
      <c r="A899" s="120"/>
      <c r="B899" s="120"/>
      <c r="C899" s="126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>
      <c r="A900" s="120"/>
      <c r="B900" s="120"/>
      <c r="C900" s="126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>
      <c r="A901" s="120"/>
      <c r="B901" s="120"/>
      <c r="C901" s="126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>
      <c r="A902" s="120"/>
      <c r="B902" s="120"/>
      <c r="C902" s="126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>
      <c r="A903" s="120"/>
      <c r="B903" s="120"/>
      <c r="C903" s="126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>
      <c r="A904" s="120"/>
      <c r="B904" s="120"/>
      <c r="C904" s="126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>
      <c r="A905" s="120"/>
      <c r="B905" s="120"/>
      <c r="C905" s="126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>
      <c r="A906" s="120"/>
      <c r="B906" s="120"/>
      <c r="C906" s="126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>
      <c r="A907" s="120"/>
      <c r="B907" s="120"/>
      <c r="C907" s="126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>
      <c r="A908" s="120"/>
      <c r="B908" s="120"/>
      <c r="C908" s="126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>
      <c r="A909" s="120"/>
      <c r="B909" s="120"/>
      <c r="C909" s="126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>
      <c r="A910" s="120"/>
      <c r="B910" s="120"/>
      <c r="C910" s="126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>
      <c r="A911" s="120"/>
      <c r="B911" s="120"/>
      <c r="C911" s="126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>
      <c r="A912" s="120"/>
      <c r="B912" s="120"/>
      <c r="C912" s="126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>
      <c r="A913" s="120"/>
      <c r="B913" s="120"/>
      <c r="C913" s="126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>
      <c r="A914" s="120"/>
      <c r="B914" s="120"/>
      <c r="C914" s="126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>
      <c r="A915" s="120"/>
      <c r="B915" s="120"/>
      <c r="C915" s="126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>
      <c r="A916" s="120"/>
      <c r="B916" s="120"/>
      <c r="C916" s="126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>
      <c r="A917" s="120"/>
      <c r="B917" s="120"/>
      <c r="C917" s="126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>
      <c r="A918" s="120"/>
      <c r="B918" s="120"/>
      <c r="C918" s="126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>
      <c r="A919" s="120"/>
      <c r="B919" s="120"/>
      <c r="C919" s="126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>
      <c r="A920" s="120"/>
      <c r="B920" s="120"/>
      <c r="C920" s="126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>
      <c r="A921" s="120"/>
      <c r="B921" s="120"/>
      <c r="C921" s="126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>
      <c r="A922" s="120"/>
      <c r="B922" s="120"/>
      <c r="C922" s="126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>
      <c r="A923" s="120"/>
      <c r="B923" s="120"/>
      <c r="C923" s="126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>
      <c r="A924" s="120"/>
      <c r="B924" s="120"/>
      <c r="C924" s="126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>
      <c r="A925" s="120"/>
      <c r="B925" s="120"/>
      <c r="C925" s="126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>
      <c r="A926" s="120"/>
      <c r="B926" s="120"/>
      <c r="C926" s="126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>
      <c r="A927" s="120"/>
      <c r="B927" s="120"/>
      <c r="C927" s="126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>
      <c r="A928" s="120"/>
      <c r="B928" s="120"/>
      <c r="C928" s="126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>
      <c r="A929" s="120"/>
      <c r="B929" s="120"/>
      <c r="C929" s="126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>
      <c r="A930" s="120"/>
      <c r="B930" s="120"/>
      <c r="C930" s="126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>
      <c r="A931" s="120"/>
      <c r="B931" s="120"/>
      <c r="C931" s="126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>
      <c r="A932" s="120"/>
      <c r="B932" s="120"/>
      <c r="C932" s="126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>
      <c r="A933" s="120"/>
      <c r="B933" s="120"/>
      <c r="C933" s="126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>
      <c r="A934" s="120"/>
      <c r="B934" s="120"/>
      <c r="C934" s="126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>
      <c r="A935" s="120"/>
      <c r="B935" s="120"/>
      <c r="C935" s="126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>
      <c r="A936" s="120"/>
      <c r="B936" s="120"/>
      <c r="C936" s="126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>
      <c r="A937" s="120"/>
      <c r="B937" s="120"/>
      <c r="C937" s="126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>
      <c r="A938" s="120"/>
      <c r="B938" s="120"/>
      <c r="C938" s="126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>
      <c r="A939" s="120"/>
      <c r="B939" s="120"/>
      <c r="C939" s="126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>
      <c r="A940" s="120"/>
      <c r="B940" s="120"/>
      <c r="C940" s="126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>
      <c r="A941" s="120"/>
      <c r="B941" s="120"/>
      <c r="C941" s="126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>
      <c r="A942" s="120"/>
      <c r="B942" s="120"/>
      <c r="C942" s="126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>
      <c r="A943" s="120"/>
      <c r="B943" s="120"/>
      <c r="C943" s="126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>
      <c r="A944" s="120"/>
      <c r="B944" s="120"/>
      <c r="C944" s="126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>
      <c r="A945" s="120"/>
      <c r="B945" s="120"/>
      <c r="C945" s="126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>
      <c r="A946" s="120"/>
      <c r="B946" s="120"/>
      <c r="C946" s="126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>
      <c r="A947" s="120"/>
      <c r="B947" s="120"/>
      <c r="C947" s="126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>
      <c r="A948" s="120"/>
      <c r="B948" s="120"/>
      <c r="C948" s="126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>
      <c r="A949" s="120"/>
      <c r="B949" s="120"/>
      <c r="C949" s="126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>
      <c r="A950" s="120"/>
      <c r="B950" s="120"/>
      <c r="C950" s="126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>
      <c r="A951" s="120"/>
      <c r="B951" s="120"/>
      <c r="C951" s="126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>
      <c r="A952" s="120"/>
      <c r="B952" s="120"/>
      <c r="C952" s="126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>
      <c r="A953" s="120"/>
      <c r="B953" s="120"/>
      <c r="C953" s="126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>
      <c r="A954" s="120"/>
      <c r="B954" s="120"/>
      <c r="C954" s="126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>
      <c r="A955" s="120"/>
      <c r="B955" s="120"/>
      <c r="C955" s="126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>
      <c r="A956" s="120"/>
      <c r="B956" s="120"/>
      <c r="C956" s="126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>
      <c r="A957" s="120"/>
      <c r="B957" s="120"/>
      <c r="C957" s="126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>
      <c r="A958" s="120"/>
      <c r="B958" s="120"/>
      <c r="C958" s="126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>
      <c r="A959" s="120"/>
      <c r="B959" s="120"/>
      <c r="C959" s="126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>
      <c r="A960" s="120"/>
      <c r="B960" s="120"/>
      <c r="C960" s="126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>
      <c r="A961" s="120"/>
      <c r="B961" s="120"/>
      <c r="C961" s="126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>
      <c r="A962" s="120"/>
      <c r="B962" s="120"/>
      <c r="C962" s="126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>
      <c r="A963" s="120"/>
      <c r="B963" s="120"/>
      <c r="C963" s="126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>
      <c r="A964" s="120"/>
      <c r="B964" s="120"/>
      <c r="C964" s="126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>
      <c r="A965" s="120"/>
      <c r="B965" s="120"/>
      <c r="C965" s="126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>
      <c r="A966" s="120"/>
      <c r="B966" s="120"/>
      <c r="C966" s="126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>
      <c r="A967" s="120"/>
      <c r="B967" s="120"/>
      <c r="C967" s="126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>
      <c r="A968" s="120"/>
      <c r="B968" s="120"/>
      <c r="C968" s="126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>
      <c r="A969" s="120"/>
      <c r="B969" s="120"/>
      <c r="C969" s="126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>
      <c r="A970" s="120"/>
      <c r="B970" s="120"/>
      <c r="C970" s="126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>
      <c r="A971" s="120"/>
      <c r="B971" s="120"/>
      <c r="C971" s="126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>
      <c r="A972" s="120"/>
      <c r="B972" s="120"/>
      <c r="C972" s="126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>
      <c r="A973" s="120"/>
      <c r="B973" s="120"/>
      <c r="C973" s="126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>
      <c r="A974" s="120"/>
      <c r="B974" s="120"/>
      <c r="C974" s="126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>
      <c r="A975" s="120"/>
      <c r="B975" s="120"/>
      <c r="C975" s="126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>
      <c r="A976" s="120"/>
      <c r="B976" s="120"/>
      <c r="C976" s="126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>
      <c r="A977" s="120"/>
      <c r="B977" s="120"/>
      <c r="C977" s="126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>
      <c r="A978" s="120"/>
      <c r="B978" s="120"/>
      <c r="C978" s="126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>
      <c r="A979" s="120"/>
      <c r="B979" s="120"/>
      <c r="C979" s="126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>
      <c r="A980" s="120"/>
      <c r="B980" s="120"/>
      <c r="C980" s="126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>
      <c r="A981" s="120"/>
      <c r="B981" s="120"/>
      <c r="C981" s="126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>
      <c r="A982" s="120"/>
      <c r="B982" s="120"/>
      <c r="C982" s="126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>
      <c r="A983" s="120"/>
      <c r="B983" s="120"/>
      <c r="C983" s="126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>
      <c r="A984" s="120"/>
      <c r="B984" s="120"/>
      <c r="C984" s="126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>
      <c r="A985" s="120"/>
      <c r="B985" s="120"/>
      <c r="C985" s="126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>
      <c r="A986" s="120"/>
      <c r="B986" s="120"/>
      <c r="C986" s="126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>
      <c r="A987" s="120"/>
      <c r="B987" s="120"/>
      <c r="C987" s="126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>
      <c r="A988" s="120"/>
      <c r="B988" s="120"/>
      <c r="C988" s="126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>
      <c r="A989" s="120"/>
      <c r="B989" s="120"/>
      <c r="C989" s="126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>
      <c r="A990" s="120"/>
      <c r="B990" s="120"/>
      <c r="C990" s="126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>
      <c r="A991" s="120"/>
      <c r="B991" s="120"/>
      <c r="C991" s="126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>
      <c r="A992" s="120"/>
      <c r="B992" s="120"/>
      <c r="C992" s="126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>
      <c r="A993" s="120"/>
      <c r="B993" s="120"/>
      <c r="C993" s="126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>
      <c r="A994" s="120"/>
      <c r="B994" s="120"/>
      <c r="C994" s="126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>
      <c r="A995" s="120"/>
      <c r="B995" s="120"/>
      <c r="C995" s="126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>
      <c r="A996" s="120"/>
      <c r="B996" s="120"/>
      <c r="C996" s="126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>
      <c r="A997" s="120"/>
      <c r="B997" s="120"/>
      <c r="C997" s="126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>
      <c r="A998" s="120"/>
      <c r="B998" s="120"/>
      <c r="C998" s="126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>
      <c r="A999" s="120"/>
      <c r="B999" s="120"/>
      <c r="C999" s="126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>
      <c r="A1000" s="120"/>
      <c r="B1000" s="120"/>
      <c r="C1000" s="126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  <row r="1001">
      <c r="A1001" s="120"/>
      <c r="B1001" s="120"/>
      <c r="C1001" s="126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</row>
  </sheetData>
  <drawing r:id="rId1"/>
</worksheet>
</file>